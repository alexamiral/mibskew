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277c297eb3c5c6/Desktop/Mib streamlit/"/>
    </mc:Choice>
  </mc:AlternateContent>
  <xr:revisionPtr revIDLastSave="0" documentId="8_{6DBFA20E-0F75-46FC-AA06-B72C95F9607B}" xr6:coauthVersionLast="47" xr6:coauthVersionMax="47" xr10:uidLastSave="{00000000-0000-0000-0000-000000000000}"/>
  <bookViews>
    <workbookView xWindow="-120" yWindow="-120" windowWidth="29040" windowHeight="15840" xr2:uid="{398FFB2D-8527-4A3D-91BD-D1F9215F294C}"/>
  </bookViews>
  <sheets>
    <sheet name="112904" sheetId="1" r:id="rId1"/>
    <sheet name="112989" sheetId="2" r:id="rId2"/>
    <sheet name="122936" sheetId="3" r:id="rId3"/>
    <sheet name="122958" sheetId="4" r:id="rId4"/>
    <sheet name="552917" sheetId="5" r:id="rId5"/>
  </sheets>
  <externalReferences>
    <externalReference r:id="rId6"/>
  </externalReferences>
  <definedNames>
    <definedName name="SheetNames">IFERROR(INDEX(MID(SheetNames,FIND("]",SheetNames)+1,255),ROWS('[1]Cash Summary'!#REF!)),"")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3" l="1"/>
  <c r="C12" i="5"/>
  <c r="E12" i="5" s="1"/>
  <c r="N12" i="5" s="1"/>
  <c r="L19" i="5"/>
  <c r="N19" i="5"/>
  <c r="L20" i="5"/>
  <c r="L28" i="5" s="1"/>
  <c r="N20" i="5"/>
  <c r="L21" i="5"/>
  <c r="N21" i="5" s="1"/>
  <c r="L22" i="5"/>
  <c r="N22" i="5"/>
  <c r="L23" i="5"/>
  <c r="N23" i="5"/>
  <c r="L24" i="5"/>
  <c r="N24" i="5"/>
  <c r="L25" i="5"/>
  <c r="N25" i="5" s="1"/>
  <c r="L26" i="5"/>
  <c r="N26" i="5"/>
  <c r="F28" i="5"/>
  <c r="G28" i="5"/>
  <c r="H28" i="5"/>
  <c r="I28" i="5"/>
  <c r="J28" i="5"/>
  <c r="K28" i="5"/>
  <c r="C12" i="4"/>
  <c r="E12" i="4" s="1"/>
  <c r="N12" i="4" s="1"/>
  <c r="L19" i="4"/>
  <c r="N19" i="4" s="1"/>
  <c r="N16" i="4" s="1"/>
  <c r="N28" i="4" s="1"/>
  <c r="L20" i="4"/>
  <c r="N20" i="4"/>
  <c r="L21" i="4"/>
  <c r="N21" i="4"/>
  <c r="L22" i="4"/>
  <c r="L28" i="4" s="1"/>
  <c r="N22" i="4"/>
  <c r="L23" i="4"/>
  <c r="N23" i="4"/>
  <c r="L24" i="4"/>
  <c r="N24" i="4"/>
  <c r="L25" i="4"/>
  <c r="N25" i="4"/>
  <c r="L26" i="4"/>
  <c r="N26" i="4"/>
  <c r="F28" i="4"/>
  <c r="G28" i="4"/>
  <c r="H28" i="4"/>
  <c r="I28" i="4"/>
  <c r="J28" i="4"/>
  <c r="K28" i="4"/>
  <c r="C12" i="3"/>
  <c r="E12" i="3" s="1"/>
  <c r="N12" i="3" s="1"/>
  <c r="L18" i="3"/>
  <c r="L27" i="3" s="1"/>
  <c r="L19" i="3"/>
  <c r="N19" i="3"/>
  <c r="L20" i="3"/>
  <c r="N20" i="3"/>
  <c r="L21" i="3"/>
  <c r="N21" i="3"/>
  <c r="L22" i="3"/>
  <c r="N22" i="3"/>
  <c r="L23" i="3"/>
  <c r="N23" i="3"/>
  <c r="L24" i="3"/>
  <c r="N24" i="3"/>
  <c r="F27" i="3"/>
  <c r="G27" i="3"/>
  <c r="H27" i="3"/>
  <c r="I27" i="3"/>
  <c r="J27" i="3"/>
  <c r="K27" i="3"/>
  <c r="C12" i="2"/>
  <c r="E12" i="2" s="1"/>
  <c r="N12" i="2" s="1"/>
  <c r="L19" i="2"/>
  <c r="N19" i="2"/>
  <c r="N16" i="2" s="1"/>
  <c r="N26" i="2" s="1"/>
  <c r="L20" i="2"/>
  <c r="N20" i="2"/>
  <c r="L21" i="2"/>
  <c r="N21" i="2" s="1"/>
  <c r="L22" i="2"/>
  <c r="N22" i="2"/>
  <c r="L23" i="2"/>
  <c r="N23" i="2"/>
  <c r="F26" i="2"/>
  <c r="G26" i="2"/>
  <c r="H26" i="2"/>
  <c r="I26" i="2"/>
  <c r="J26" i="2"/>
  <c r="K26" i="2"/>
  <c r="L26" i="2"/>
  <c r="C12" i="1"/>
  <c r="E12" i="1" s="1"/>
  <c r="N12" i="1" s="1"/>
  <c r="L19" i="1"/>
  <c r="N19" i="1"/>
  <c r="N16" i="1" s="1"/>
  <c r="N26" i="1" s="1"/>
  <c r="L20" i="1"/>
  <c r="L26" i="1" s="1"/>
  <c r="N20" i="1"/>
  <c r="L21" i="1"/>
  <c r="N21" i="1" s="1"/>
  <c r="L22" i="1"/>
  <c r="N22" i="1"/>
  <c r="L23" i="1"/>
  <c r="N23" i="1"/>
  <c r="F26" i="1"/>
  <c r="G26" i="1"/>
  <c r="H26" i="1"/>
  <c r="I26" i="1"/>
  <c r="J26" i="1"/>
  <c r="K26" i="1"/>
  <c r="N18" i="3" l="1"/>
  <c r="N16" i="3" s="1"/>
  <c r="N27" i="3" s="1"/>
  <c r="N16" i="5"/>
  <c r="N28" i="5" s="1"/>
</calcChain>
</file>

<file path=xl/sharedStrings.xml><?xml version="1.0" encoding="utf-8"?>
<sst xmlns="http://schemas.openxmlformats.org/spreadsheetml/2006/main" count="345" uniqueCount="104">
  <si>
    <t>Please contact carson@mibclothing.com or 707-481-2555 regarding any PO inquires/questions.</t>
  </si>
  <si>
    <t>- All items must have MIB labels, size, style#, care instuctions, fabric content and place of origin labels sewn into each garment.</t>
  </si>
  <si>
    <t>- Insure all shipments for the total cost</t>
  </si>
  <si>
    <t>- Per box weight limit is 50 lbs.</t>
  </si>
  <si>
    <t>- Label poly bag with MIB style # and size stickers</t>
  </si>
  <si>
    <t>- Include PO# in all Shipping Documents</t>
  </si>
  <si>
    <t>- Fold and poly bag each garment individually.</t>
  </si>
  <si>
    <t>- Clearly Mark the Outside of each Carton with PO#</t>
  </si>
  <si>
    <t>SHIPPING/DELIVERY REQUIREMENTS</t>
  </si>
  <si>
    <t>Total Cost</t>
  </si>
  <si>
    <t>Total Units</t>
  </si>
  <si>
    <t/>
  </si>
  <si>
    <t>ALL SIZES MUST BE TO "MAKING IT BIG SPECS"</t>
  </si>
  <si>
    <t>please note sizes have been adjusted according to MIB specs</t>
  </si>
  <si>
    <t>*prior to ship date, please send 1 of each size to 6207 Olympic Pl, Rohnert Park, CA 94928</t>
  </si>
  <si>
    <t>COURT</t>
  </si>
  <si>
    <t>COURTEPOINTE</t>
  </si>
  <si>
    <t>817 RED MULTI</t>
  </si>
  <si>
    <t>AMGAR</t>
  </si>
  <si>
    <t>AMOUR GARDEN</t>
  </si>
  <si>
    <t>2345 RED MULTI</t>
  </si>
  <si>
    <t>unit cost</t>
  </si>
  <si>
    <t>Total</t>
  </si>
  <si>
    <t>For SKU</t>
  </si>
  <si>
    <t>MIB COLOR</t>
  </si>
  <si>
    <t>Color</t>
  </si>
  <si>
    <t>Pearsall Patchwork Blouse</t>
  </si>
  <si>
    <t>Product:</t>
  </si>
  <si>
    <t>MIB#</t>
  </si>
  <si>
    <t>5745X</t>
  </si>
  <si>
    <t>Vendor Style #</t>
  </si>
  <si>
    <t>Please ship all merchandise UPS ground collect using Making It Big's account #H921X5. In reference field 1 place your company name, in reference field 2 use MIB purchase order number.</t>
  </si>
  <si>
    <t>Net 45</t>
  </si>
  <si>
    <t>cancel date</t>
  </si>
  <si>
    <t>Terms</t>
  </si>
  <si>
    <t>EXPECTED DATE AT MIB</t>
  </si>
  <si>
    <t>PO Issue Date</t>
  </si>
  <si>
    <t>DO NOT CANCEL WITHOUT MIB APPROVAL</t>
  </si>
  <si>
    <t>Fax#</t>
  </si>
  <si>
    <t>707-481-2555</t>
  </si>
  <si>
    <t>Ph#</t>
  </si>
  <si>
    <t>fax:</t>
  </si>
  <si>
    <t>inventory@mibclothing.com</t>
  </si>
  <si>
    <t>E-mail</t>
  </si>
  <si>
    <t>(917) 309-3640</t>
  </si>
  <si>
    <t>bus:</t>
  </si>
  <si>
    <t>Zip</t>
  </si>
  <si>
    <t>Vacaville, CA</t>
  </si>
  <si>
    <t>City/St.</t>
  </si>
  <si>
    <t>Fairview, New Jersey   07022</t>
  </si>
  <si>
    <t>2050 Cessna Dr</t>
  </si>
  <si>
    <t>Street</t>
  </si>
  <si>
    <t>13 Division Street  Unit B</t>
  </si>
  <si>
    <t>MIB Clothing</t>
  </si>
  <si>
    <t>Name</t>
  </si>
  <si>
    <t>La Cera</t>
  </si>
  <si>
    <t xml:space="preserve">      SHIP TO    AND    BILL TO ADDRESS</t>
  </si>
  <si>
    <t xml:space="preserve">      VENDOR INFORMATION</t>
  </si>
  <si>
    <t>PO#</t>
  </si>
  <si>
    <t>P u r c h a s e   O r d e r</t>
  </si>
  <si>
    <t>FLORAL</t>
  </si>
  <si>
    <t>210 RASPBERRY</t>
  </si>
  <si>
    <t>BTRFLY</t>
  </si>
  <si>
    <t>BUTTERFLY</t>
  </si>
  <si>
    <t>3003 WHITE MULTI</t>
  </si>
  <si>
    <t>Becky Blouse</t>
  </si>
  <si>
    <t>5059X</t>
  </si>
  <si>
    <t>BKLEO</t>
  </si>
  <si>
    <t>BLACK LEOPARD</t>
  </si>
  <si>
    <t>839 BLACK</t>
  </si>
  <si>
    <t>PEACO</t>
  </si>
  <si>
    <t>PEACOCK</t>
  </si>
  <si>
    <t>5803 PEACOCK</t>
  </si>
  <si>
    <t>MIDMI</t>
  </si>
  <si>
    <t>MIDNIGHT MIRAGE</t>
  </si>
  <si>
    <t>FIBLO</t>
  </si>
  <si>
    <t>FIERY BLOSSOM</t>
  </si>
  <si>
    <t>1214 ORANGE</t>
  </si>
  <si>
    <t>ELTID</t>
  </si>
  <si>
    <t>ELECTRIC TIDE</t>
  </si>
  <si>
    <t>730 BLUE/YELLOW</t>
  </si>
  <si>
    <t>BLMOS</t>
  </si>
  <si>
    <t>BLUE MOSAIC</t>
  </si>
  <si>
    <t>875 BLUE</t>
  </si>
  <si>
    <t>PUPAI</t>
  </si>
  <si>
    <t>PURPLE PAISLEY</t>
  </si>
  <si>
    <t>818 BLACK/PPL</t>
  </si>
  <si>
    <t>Erin Tunic</t>
  </si>
  <si>
    <t>5883SX</t>
  </si>
  <si>
    <t>SKSWIR</t>
  </si>
  <si>
    <t>SKY SWIRL TIE DYE</t>
  </si>
  <si>
    <t>88TL/GRN W. PPL DRIP</t>
  </si>
  <si>
    <t>Taci Tunic</t>
  </si>
  <si>
    <t>PLUM</t>
  </si>
  <si>
    <t>91070 PLUM(LEAF)</t>
  </si>
  <si>
    <t>BLACK</t>
  </si>
  <si>
    <t>91070 BLK/WHT(LEAF)</t>
  </si>
  <si>
    <t>Tegu Dress</t>
  </si>
  <si>
    <t>2115 91070</t>
  </si>
  <si>
    <t>1X2X</t>
  </si>
  <si>
    <t>2X3X</t>
  </si>
  <si>
    <t>3X4X</t>
  </si>
  <si>
    <t>4X5X</t>
  </si>
  <si>
    <t>5X6X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</si>
</sst>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mm/dd/yy"/>
    <numFmt numFmtId="165" formatCode="m/d/yy"/>
  </numFmts>
  <fonts count="14" x14ac:knownFonts="1"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6"/>
      <name val="Arial"/>
      <family val="2"/>
    </font>
    <font>
      <u/>
      <sz val="10"/>
      <color indexed="12"/>
      <name val="Arial"/>
      <family val="2"/>
    </font>
    <font>
      <b/>
      <sz val="14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36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</cellStyleXfs>
  <cellXfs count="147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0" fillId="0" borderId="0" xfId="1" applyFon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9" fontId="0" fillId="0" borderId="2" xfId="1" applyFont="1" applyBorder="1"/>
    <xf numFmtId="0" fontId="3" fillId="0" borderId="3" xfId="0" applyFont="1" applyBorder="1"/>
    <xf numFmtId="0" fontId="0" fillId="0" borderId="4" xfId="0" applyBorder="1" applyAlignment="1">
      <alignment horizontal="center"/>
    </xf>
    <xf numFmtId="0" fontId="0" fillId="0" borderId="5" xfId="0" applyBorder="1"/>
    <xf numFmtId="9" fontId="4" fillId="0" borderId="5" xfId="1" applyFont="1" applyBorder="1"/>
    <xf numFmtId="0" fontId="4" fillId="0" borderId="5" xfId="0" applyFont="1" applyBorder="1"/>
    <xf numFmtId="9" fontId="0" fillId="0" borderId="6" xfId="1" applyFont="1" applyBorder="1"/>
    <xf numFmtId="0" fontId="5" fillId="0" borderId="7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5" fillId="2" borderId="10" xfId="0" applyFont="1" applyFill="1" applyBorder="1" applyAlignment="1">
      <alignment wrapText="1"/>
    </xf>
    <xf numFmtId="0" fontId="5" fillId="2" borderId="0" xfId="0" applyFont="1" applyFill="1" applyAlignment="1">
      <alignment wrapText="1"/>
    </xf>
    <xf numFmtId="0" fontId="2" fillId="2" borderId="0" xfId="0" applyFont="1" applyFill="1"/>
    <xf numFmtId="0" fontId="0" fillId="2" borderId="0" xfId="0" applyFill="1"/>
    <xf numFmtId="0" fontId="2" fillId="2" borderId="11" xfId="0" quotePrefix="1" applyFont="1" applyFill="1" applyBorder="1"/>
    <xf numFmtId="0" fontId="2" fillId="2" borderId="0" xfId="0" quotePrefix="1" applyFont="1" applyFill="1"/>
    <xf numFmtId="9" fontId="0" fillId="2" borderId="0" xfId="1" applyFont="1" applyFill="1" applyBorder="1"/>
    <xf numFmtId="0" fontId="6" fillId="2" borderId="0" xfId="0" applyFont="1" applyFill="1"/>
    <xf numFmtId="0" fontId="4" fillId="0" borderId="0" xfId="0" applyFont="1"/>
    <xf numFmtId="0" fontId="2" fillId="0" borderId="12" xfId="0" applyFont="1" applyBorder="1" applyAlignment="1">
      <alignment horizontal="center"/>
    </xf>
    <xf numFmtId="0" fontId="2" fillId="0" borderId="13" xfId="0" applyFont="1" applyBorder="1"/>
    <xf numFmtId="9" fontId="2" fillId="0" borderId="13" xfId="1" applyFont="1" applyBorder="1"/>
    <xf numFmtId="0" fontId="2" fillId="0" borderId="14" xfId="0" applyFont="1" applyBorder="1"/>
    <xf numFmtId="1" fontId="5" fillId="0" borderId="0" xfId="0" applyNumberFormat="1" applyFont="1"/>
    <xf numFmtId="44" fontId="6" fillId="0" borderId="15" xfId="2" applyFont="1" applyBorder="1" applyAlignment="1">
      <alignment horizontal="center"/>
    </xf>
    <xf numFmtId="0" fontId="6" fillId="4" borderId="16" xfId="0" applyFont="1" applyFill="1" applyBorder="1" applyAlignment="1">
      <alignment horizontal="center"/>
    </xf>
    <xf numFmtId="1" fontId="6" fillId="0" borderId="16" xfId="0" applyNumberFormat="1" applyFont="1" applyBorder="1" applyAlignment="1">
      <alignment horizontal="center"/>
    </xf>
    <xf numFmtId="0" fontId="6" fillId="4" borderId="17" xfId="0" applyFont="1" applyFill="1" applyBorder="1" applyAlignment="1">
      <alignment horizontal="center"/>
    </xf>
    <xf numFmtId="0" fontId="2" fillId="0" borderId="0" xfId="0" applyFont="1"/>
    <xf numFmtId="1" fontId="8" fillId="0" borderId="0" xfId="0" applyNumberFormat="1" applyFont="1" applyAlignment="1">
      <alignment horizontal="center"/>
    </xf>
    <xf numFmtId="1" fontId="2" fillId="0" borderId="18" xfId="0" applyNumberFormat="1" applyFont="1" applyBorder="1" applyAlignment="1">
      <alignment horizontal="center"/>
    </xf>
    <xf numFmtId="1" fontId="2" fillId="0" borderId="19" xfId="0" applyNumberFormat="1" applyFont="1" applyBorder="1" applyAlignment="1">
      <alignment horizontal="center"/>
    </xf>
    <xf numFmtId="0" fontId="3" fillId="0" borderId="20" xfId="0" applyFont="1" applyBorder="1"/>
    <xf numFmtId="44" fontId="8" fillId="0" borderId="0" xfId="2" applyFont="1" applyFill="1" applyBorder="1" applyAlignment="1">
      <alignment horizontal="center"/>
    </xf>
    <xf numFmtId="44" fontId="2" fillId="0" borderId="21" xfId="0" applyNumberFormat="1" applyFont="1" applyBorder="1" applyAlignment="1">
      <alignment horizontal="center"/>
    </xf>
    <xf numFmtId="44" fontId="2" fillId="0" borderId="0" xfId="2" applyFont="1" applyFill="1" applyBorder="1" applyAlignment="1">
      <alignment horizontal="center"/>
    </xf>
    <xf numFmtId="1" fontId="2" fillId="0" borderId="0" xfId="0" applyNumberFormat="1" applyFont="1" applyAlignment="1">
      <alignment horizontal="center"/>
    </xf>
    <xf numFmtId="9" fontId="2" fillId="0" borderId="22" xfId="1" applyFont="1" applyBorder="1"/>
    <xf numFmtId="1" fontId="2" fillId="5" borderId="0" xfId="0" applyNumberFormat="1" applyFont="1" applyFill="1" applyAlignment="1">
      <alignment horizontal="center"/>
    </xf>
    <xf numFmtId="9" fontId="0" fillId="5" borderId="0" xfId="1" applyFont="1" applyFill="1" applyBorder="1"/>
    <xf numFmtId="0" fontId="0" fillId="5" borderId="0" xfId="0" applyFill="1"/>
    <xf numFmtId="0" fontId="9" fillId="5" borderId="22" xfId="0" applyFont="1" applyFill="1" applyBorder="1"/>
    <xf numFmtId="1" fontId="6" fillId="5" borderId="0" xfId="0" applyNumberFormat="1" applyFont="1" applyFill="1" applyAlignment="1">
      <alignment horizontal="center"/>
    </xf>
    <xf numFmtId="9" fontId="9" fillId="5" borderId="0" xfId="1" applyFont="1" applyFill="1" applyBorder="1"/>
    <xf numFmtId="0" fontId="9" fillId="5" borderId="0" xfId="0" applyFont="1" applyFill="1"/>
    <xf numFmtId="0" fontId="0" fillId="0" borderId="22" xfId="0" applyBorder="1"/>
    <xf numFmtId="0" fontId="2" fillId="0" borderId="0" xfId="1" applyNumberFormat="1" applyFont="1" applyBorder="1" applyAlignment="1">
      <alignment horizontal="center"/>
    </xf>
    <xf numFmtId="9" fontId="8" fillId="0" borderId="0" xfId="1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2" fillId="0" borderId="23" xfId="0" applyFont="1" applyBorder="1" applyAlignment="1">
      <alignment horizontal="center"/>
    </xf>
    <xf numFmtId="1" fontId="2" fillId="0" borderId="24" xfId="0" applyNumberFormat="1" applyFont="1" applyBorder="1" applyAlignment="1">
      <alignment horizontal="center"/>
    </xf>
    <xf numFmtId="1" fontId="6" fillId="0" borderId="24" xfId="0" applyNumberFormat="1" applyFont="1" applyBorder="1" applyAlignment="1">
      <alignment horizontal="center"/>
    </xf>
    <xf numFmtId="0" fontId="6" fillId="0" borderId="25" xfId="0" applyFont="1" applyBorder="1"/>
    <xf numFmtId="44" fontId="2" fillId="0" borderId="26" xfId="2" applyFont="1" applyBorder="1" applyAlignment="1">
      <alignment horizontal="center"/>
    </xf>
    <xf numFmtId="44" fontId="2" fillId="0" borderId="8" xfId="0" applyNumberFormat="1" applyFont="1" applyBorder="1"/>
    <xf numFmtId="0" fontId="6" fillId="0" borderId="8" xfId="0" applyFont="1" applyBorder="1"/>
    <xf numFmtId="9" fontId="2" fillId="0" borderId="8" xfId="1" applyFont="1" applyBorder="1"/>
    <xf numFmtId="0" fontId="2" fillId="0" borderId="8" xfId="0" applyFont="1" applyBorder="1" applyAlignment="1">
      <alignment horizontal="right"/>
    </xf>
    <xf numFmtId="0" fontId="6" fillId="0" borderId="27" xfId="0" applyFont="1" applyBorder="1"/>
    <xf numFmtId="0" fontId="2" fillId="0" borderId="0" xfId="0" quotePrefix="1" applyFont="1" applyAlignment="1">
      <alignment horizontal="center"/>
    </xf>
    <xf numFmtId="0" fontId="6" fillId="0" borderId="28" xfId="0" applyFont="1" applyBorder="1" applyAlignment="1">
      <alignment horizontal="center"/>
    </xf>
    <xf numFmtId="0" fontId="2" fillId="0" borderId="29" xfId="0" applyFont="1" applyBorder="1"/>
    <xf numFmtId="0" fontId="6" fillId="0" borderId="29" xfId="1" applyNumberFormat="1" applyFont="1" applyBorder="1" applyAlignment="1">
      <alignment horizontal="center"/>
    </xf>
    <xf numFmtId="9" fontId="6" fillId="0" borderId="29" xfId="1" applyFont="1" applyBorder="1"/>
    <xf numFmtId="9" fontId="2" fillId="0" borderId="29" xfId="1" applyFont="1" applyBorder="1"/>
    <xf numFmtId="0" fontId="2" fillId="0" borderId="29" xfId="0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6" fillId="0" borderId="30" xfId="0" applyFont="1" applyBorder="1"/>
    <xf numFmtId="0" fontId="6" fillId="0" borderId="0" xfId="0" quotePrefix="1" applyFont="1" applyAlignment="1">
      <alignment horizontal="center"/>
    </xf>
    <xf numFmtId="0" fontId="2" fillId="4" borderId="21" xfId="0" applyFont="1" applyFill="1" applyBorder="1" applyAlignment="1">
      <alignment horizontal="center"/>
    </xf>
    <xf numFmtId="0" fontId="6" fillId="4" borderId="0" xfId="0" applyFont="1" applyFill="1"/>
    <xf numFmtId="164" fontId="6" fillId="4" borderId="0" xfId="0" applyNumberFormat="1" applyFont="1" applyFill="1" applyAlignment="1">
      <alignment horizontal="right"/>
    </xf>
    <xf numFmtId="0" fontId="6" fillId="4" borderId="0" xfId="0" applyFont="1" applyFill="1" applyAlignment="1">
      <alignment horizontal="left"/>
    </xf>
    <xf numFmtId="14" fontId="3" fillId="4" borderId="22" xfId="0" applyNumberFormat="1" applyFont="1" applyFill="1" applyBorder="1" applyAlignment="1">
      <alignment horizontal="left"/>
    </xf>
    <xf numFmtId="165" fontId="8" fillId="0" borderId="26" xfId="0" applyNumberFormat="1" applyFont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165" fontId="6" fillId="0" borderId="8" xfId="0" applyNumberFormat="1" applyFont="1" applyBorder="1"/>
    <xf numFmtId="0" fontId="6" fillId="0" borderId="8" xfId="0" applyFont="1" applyBorder="1" applyAlignment="1">
      <alignment horizontal="center"/>
    </xf>
    <xf numFmtId="164" fontId="1" fillId="0" borderId="8" xfId="0" applyNumberFormat="1" applyFont="1" applyBorder="1" applyAlignment="1">
      <alignment horizontal="left"/>
    </xf>
    <xf numFmtId="165" fontId="6" fillId="0" borderId="8" xfId="0" applyNumberFormat="1" applyFont="1" applyBorder="1" applyAlignment="1">
      <alignment horizontal="center"/>
    </xf>
    <xf numFmtId="165" fontId="6" fillId="0" borderId="27" xfId="0" applyNumberFormat="1" applyFont="1" applyBorder="1" applyAlignment="1">
      <alignment horizontal="center"/>
    </xf>
    <xf numFmtId="0" fontId="9" fillId="0" borderId="0" xfId="0" applyFont="1"/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8" fillId="4" borderId="31" xfId="0" applyFont="1" applyFill="1" applyBorder="1" applyAlignment="1">
      <alignment horizontal="center"/>
    </xf>
    <xf numFmtId="0" fontId="6" fillId="4" borderId="5" xfId="0" applyFont="1" applyFill="1" applyBorder="1"/>
    <xf numFmtId="0" fontId="6" fillId="4" borderId="5" xfId="0" applyFont="1" applyFill="1" applyBorder="1" applyAlignment="1">
      <alignment horizontal="center"/>
    </xf>
    <xf numFmtId="0" fontId="9" fillId="4" borderId="5" xfId="0" applyFont="1" applyFill="1" applyBorder="1"/>
    <xf numFmtId="0" fontId="6" fillId="4" borderId="32" xfId="0" applyFont="1" applyFill="1" applyBorder="1"/>
    <xf numFmtId="0" fontId="2" fillId="0" borderId="31" xfId="0" applyFont="1" applyBorder="1" applyAlignment="1">
      <alignment horizontal="center"/>
    </xf>
    <xf numFmtId="0" fontId="2" fillId="0" borderId="5" xfId="0" applyFont="1" applyBorder="1"/>
    <xf numFmtId="9" fontId="2" fillId="0" borderId="5" xfId="1" applyFont="1" applyBorder="1"/>
    <xf numFmtId="9" fontId="6" fillId="0" borderId="5" xfId="0" applyNumberFormat="1" applyFont="1" applyBorder="1"/>
    <xf numFmtId="0" fontId="6" fillId="0" borderId="32" xfId="0" applyFont="1" applyBorder="1" applyAlignment="1">
      <alignment horizontal="center"/>
    </xf>
    <xf numFmtId="0" fontId="1" fillId="0" borderId="26" xfId="0" applyFont="1" applyBorder="1" applyAlignment="1">
      <alignment horizontal="left"/>
    </xf>
    <xf numFmtId="0" fontId="1" fillId="0" borderId="8" xfId="0" applyFont="1" applyBorder="1"/>
    <xf numFmtId="0" fontId="6" fillId="0" borderId="33" xfId="0" applyFont="1" applyBorder="1"/>
    <xf numFmtId="1" fontId="2" fillId="0" borderId="27" xfId="0" applyNumberFormat="1" applyFont="1" applyBorder="1" applyAlignment="1">
      <alignment horizontal="right"/>
    </xf>
    <xf numFmtId="0" fontId="6" fillId="0" borderId="21" xfId="0" applyFont="1" applyBorder="1" applyAlignment="1">
      <alignment horizontal="center"/>
    </xf>
    <xf numFmtId="49" fontId="12" fillId="0" borderId="0" xfId="3" applyNumberFormat="1" applyBorder="1" applyAlignment="1" applyProtection="1"/>
    <xf numFmtId="0" fontId="6" fillId="0" borderId="34" xfId="0" applyFont="1" applyBorder="1"/>
    <xf numFmtId="0" fontId="6" fillId="0" borderId="0" xfId="0" applyFont="1"/>
    <xf numFmtId="9" fontId="2" fillId="0" borderId="0" xfId="1" applyFont="1" applyBorder="1"/>
    <xf numFmtId="1" fontId="2" fillId="0" borderId="22" xfId="0" applyNumberFormat="1" applyFont="1" applyBorder="1" applyAlignment="1">
      <alignment horizontal="right"/>
    </xf>
    <xf numFmtId="0" fontId="0" fillId="0" borderId="0" xfId="0" applyAlignment="1">
      <alignment horizontal="left"/>
    </xf>
    <xf numFmtId="0" fontId="2" fillId="0" borderId="21" xfId="0" applyFont="1" applyBorder="1" applyAlignment="1">
      <alignment horizontal="center"/>
    </xf>
    <xf numFmtId="0" fontId="6" fillId="0" borderId="0" xfId="0" applyFont="1" applyAlignment="1">
      <alignment horizontal="right"/>
    </xf>
    <xf numFmtId="9" fontId="2" fillId="0" borderId="22" xfId="1" applyFont="1" applyBorder="1" applyAlignment="1">
      <alignment horizontal="center"/>
    </xf>
    <xf numFmtId="0" fontId="1" fillId="0" borderId="0" xfId="0" applyFont="1"/>
    <xf numFmtId="0" fontId="6" fillId="0" borderId="22" xfId="0" applyFont="1" applyBorder="1" applyAlignment="1">
      <alignment horizontal="center"/>
    </xf>
    <xf numFmtId="0" fontId="6" fillId="0" borderId="35" xfId="0" applyFont="1" applyBorder="1"/>
    <xf numFmtId="0" fontId="6" fillId="4" borderId="23" xfId="0" applyFont="1" applyFill="1" applyBorder="1" applyAlignment="1">
      <alignment horizontal="center"/>
    </xf>
    <xf numFmtId="0" fontId="6" fillId="4" borderId="24" xfId="0" applyFont="1" applyFill="1" applyBorder="1"/>
    <xf numFmtId="9" fontId="2" fillId="4" borderId="24" xfId="1" applyFont="1" applyFill="1" applyBorder="1"/>
    <xf numFmtId="0" fontId="2" fillId="4" borderId="24" xfId="0" applyFont="1" applyFill="1" applyBorder="1"/>
    <xf numFmtId="0" fontId="6" fillId="4" borderId="25" xfId="0" applyFont="1" applyFill="1" applyBorder="1"/>
    <xf numFmtId="0" fontId="0" fillId="0" borderId="21" xfId="0" applyBorder="1" applyAlignment="1">
      <alignment horizontal="center"/>
    </xf>
    <xf numFmtId="9" fontId="0" fillId="0" borderId="22" xfId="1" applyFont="1" applyBorder="1"/>
    <xf numFmtId="0" fontId="3" fillId="0" borderId="0" xfId="0" applyFont="1" applyAlignment="1">
      <alignment horizontal="center"/>
    </xf>
    <xf numFmtId="0" fontId="3" fillId="0" borderId="21" xfId="0" applyFont="1" applyBorder="1" applyAlignment="1">
      <alignment horizontal="center" wrapText="1"/>
    </xf>
    <xf numFmtId="0" fontId="3" fillId="0" borderId="0" xfId="0" applyFont="1" applyAlignment="1">
      <alignment horizontal="right"/>
    </xf>
    <xf numFmtId="9" fontId="3" fillId="0" borderId="0" xfId="1" applyFont="1" applyBorder="1"/>
    <xf numFmtId="0" fontId="0" fillId="0" borderId="28" xfId="0" applyBorder="1" applyAlignment="1">
      <alignment horizontal="center"/>
    </xf>
    <xf numFmtId="0" fontId="0" fillId="0" borderId="29" xfId="0" applyBorder="1"/>
    <xf numFmtId="9" fontId="0" fillId="0" borderId="29" xfId="1" applyFont="1" applyBorder="1"/>
    <xf numFmtId="9" fontId="0" fillId="0" borderId="30" xfId="1" applyFont="1" applyBorder="1"/>
    <xf numFmtId="0" fontId="13" fillId="0" borderId="0" xfId="0" applyFont="1" applyAlignment="1">
      <alignment horizontal="center"/>
    </xf>
    <xf numFmtId="1" fontId="2" fillId="0" borderId="8" xfId="0" applyNumberFormat="1" applyFont="1" applyBorder="1"/>
    <xf numFmtId="9" fontId="1" fillId="6" borderId="0" xfId="1" applyFont="1" applyFill="1" applyBorder="1"/>
    <xf numFmtId="1" fontId="6" fillId="6" borderId="24" xfId="0" applyNumberFormat="1" applyFont="1" applyFill="1" applyBorder="1" applyAlignment="1">
      <alignment horizontal="center"/>
    </xf>
    <xf numFmtId="0" fontId="2" fillId="6" borderId="29" xfId="1" applyNumberFormat="1" applyFont="1" applyFill="1" applyBorder="1" applyAlignment="1">
      <alignment horizontal="center"/>
    </xf>
    <xf numFmtId="14" fontId="11" fillId="0" borderId="32" xfId="0" applyNumberFormat="1" applyFont="1" applyBorder="1" applyAlignment="1">
      <alignment horizontal="center" wrapText="1"/>
    </xf>
    <xf numFmtId="14" fontId="11" fillId="0" borderId="5" xfId="0" applyNumberFormat="1" applyFont="1" applyBorder="1" applyAlignment="1">
      <alignment horizontal="center" wrapText="1"/>
    </xf>
    <xf numFmtId="14" fontId="11" fillId="0" borderId="31" xfId="0" applyNumberFormat="1" applyFont="1" applyBorder="1" applyAlignment="1">
      <alignment horizontal="center" wrapText="1"/>
    </xf>
    <xf numFmtId="0" fontId="7" fillId="3" borderId="11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7" fillId="3" borderId="10" xfId="0" applyFont="1" applyFill="1" applyBorder="1" applyAlignment="1">
      <alignment horizontal="center"/>
    </xf>
  </cellXfs>
  <cellStyles count="4">
    <cellStyle name="Currency 3" xfId="2" xr:uid="{D8C29623-FE11-427A-BE7E-AB1667171488}"/>
    <cellStyle name="Hyperlink" xfId="3" builtinId="8"/>
    <cellStyle name="Normal" xfId="0" builtinId="0"/>
    <cellStyle name="Percent 3" xfId="1" xr:uid="{F92A3169-4FCE-4DDC-90F0-642B1F3C93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233681</xdr:colOff>
      <xdr:row>0</xdr:row>
      <xdr:rowOff>60960</xdr:rowOff>
    </xdr:from>
    <xdr:ext cx="982579" cy="582295"/>
    <xdr:pic>
      <xdr:nvPicPr>
        <xdr:cNvPr id="2" name="Picture 1" descr="MIB Clothing">
          <a:extLst>
            <a:ext uri="{FF2B5EF4-FFF2-40B4-BE49-F238E27FC236}">
              <a16:creationId xmlns:a16="http://schemas.microsoft.com/office/drawing/2014/main" id="{E15C78EC-D2BC-48EB-BBA1-8300716C04C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947" b="21052"/>
        <a:stretch/>
      </xdr:blipFill>
      <xdr:spPr bwMode="auto">
        <a:xfrm>
          <a:off x="1452881" y="60960"/>
          <a:ext cx="982579" cy="582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233681</xdr:colOff>
      <xdr:row>0</xdr:row>
      <xdr:rowOff>60960</xdr:rowOff>
    </xdr:from>
    <xdr:ext cx="982579" cy="582295"/>
    <xdr:pic>
      <xdr:nvPicPr>
        <xdr:cNvPr id="2" name="Picture 1" descr="MIB Clothing">
          <a:extLst>
            <a:ext uri="{FF2B5EF4-FFF2-40B4-BE49-F238E27FC236}">
              <a16:creationId xmlns:a16="http://schemas.microsoft.com/office/drawing/2014/main" id="{97FA4A13-F4FB-4F94-8E2F-D43115F5003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947" b="21052"/>
        <a:stretch/>
      </xdr:blipFill>
      <xdr:spPr bwMode="auto">
        <a:xfrm>
          <a:off x="1452881" y="60960"/>
          <a:ext cx="982579" cy="582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233681</xdr:colOff>
      <xdr:row>0</xdr:row>
      <xdr:rowOff>60960</xdr:rowOff>
    </xdr:from>
    <xdr:ext cx="982579" cy="582295"/>
    <xdr:pic>
      <xdr:nvPicPr>
        <xdr:cNvPr id="2" name="Picture 1" descr="MIB Clothing">
          <a:extLst>
            <a:ext uri="{FF2B5EF4-FFF2-40B4-BE49-F238E27FC236}">
              <a16:creationId xmlns:a16="http://schemas.microsoft.com/office/drawing/2014/main" id="{DEB8359A-6F04-4F16-A00A-7E868D8734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947" b="21052"/>
        <a:stretch/>
      </xdr:blipFill>
      <xdr:spPr bwMode="auto">
        <a:xfrm>
          <a:off x="1452881" y="60960"/>
          <a:ext cx="982579" cy="582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233681</xdr:colOff>
      <xdr:row>0</xdr:row>
      <xdr:rowOff>60960</xdr:rowOff>
    </xdr:from>
    <xdr:ext cx="982579" cy="582295"/>
    <xdr:pic>
      <xdr:nvPicPr>
        <xdr:cNvPr id="2" name="Picture 1" descr="MIB Clothing">
          <a:extLst>
            <a:ext uri="{FF2B5EF4-FFF2-40B4-BE49-F238E27FC236}">
              <a16:creationId xmlns:a16="http://schemas.microsoft.com/office/drawing/2014/main" id="{F28DF026-51ED-47ED-A055-251EBD35B7C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947" b="21052"/>
        <a:stretch/>
      </xdr:blipFill>
      <xdr:spPr bwMode="auto">
        <a:xfrm>
          <a:off x="1452881" y="60960"/>
          <a:ext cx="982579" cy="582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233681</xdr:colOff>
      <xdr:row>0</xdr:row>
      <xdr:rowOff>60960</xdr:rowOff>
    </xdr:from>
    <xdr:ext cx="982579" cy="582295"/>
    <xdr:pic>
      <xdr:nvPicPr>
        <xdr:cNvPr id="2" name="Picture 1" descr="MIB Clothing">
          <a:extLst>
            <a:ext uri="{FF2B5EF4-FFF2-40B4-BE49-F238E27FC236}">
              <a16:creationId xmlns:a16="http://schemas.microsoft.com/office/drawing/2014/main" id="{90B331BB-499C-49BA-811F-6AC9E882DC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947" b="21052"/>
        <a:stretch/>
      </xdr:blipFill>
      <xdr:spPr bwMode="auto">
        <a:xfrm>
          <a:off x="1452881" y="60960"/>
          <a:ext cx="982579" cy="582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akingitbig.sharepoint.com/Shared%20Documents/2024/Inventory/POs/February%202025%20Orders.xlsm" TargetMode="External"/><Relationship Id="rId1" Type="http://schemas.openxmlformats.org/officeDocument/2006/relationships/externalLinkPath" Target="https://makingitbig.sharepoint.com/Shared%20Documents/2024/Inventory/POs/February%202025%20Order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sh Summary"/>
      <sheetName val="112904"/>
      <sheetName val="112989"/>
      <sheetName val="122936"/>
      <sheetName val="122958"/>
      <sheetName val="552917"/>
      <sheetName val="11152"/>
      <sheetName val="22373"/>
      <sheetName val="30129"/>
      <sheetName val="30199"/>
      <sheetName val="115259"/>
      <sheetName val="111944"/>
      <sheetName val="121938"/>
      <sheetName val="122085"/>
      <sheetName val="124528"/>
      <sheetName val="125223"/>
      <sheetName val="201922"/>
      <sheetName val="204503"/>
      <sheetName val="223596"/>
      <sheetName val="303152"/>
      <sheetName val="330186"/>
      <sheetName val="3320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entory@mibclothing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inventory@mibclothing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inventory@mibclothing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inventory@mibclothing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inventory@mibclothi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E28BB-2EDC-4C87-8BEA-F2998F97E987}">
  <sheetPr>
    <tabColor rgb="FFFFFF00"/>
    <pageSetUpPr fitToPage="1"/>
  </sheetPr>
  <dimension ref="A1:W56"/>
  <sheetViews>
    <sheetView tabSelected="1" topLeftCell="C1" zoomScale="75" workbookViewId="0">
      <selection activeCell="Q29" sqref="Q29"/>
    </sheetView>
  </sheetViews>
  <sheetFormatPr defaultRowHeight="15" x14ac:dyDescent="0.2"/>
  <cols>
    <col min="1" max="1" width="2.140625" hidden="1" customWidth="1"/>
    <col min="2" max="2" width="3" customWidth="1"/>
    <col min="3" max="3" width="20.5703125" style="3" customWidth="1"/>
    <col min="4" max="4" width="15.28515625" customWidth="1"/>
    <col min="5" max="7" width="11.28515625" style="3" customWidth="1"/>
    <col min="8" max="8" width="10.28515625" style="3" customWidth="1"/>
    <col min="9" max="9" width="9.42578125" customWidth="1"/>
    <col min="10" max="10" width="10.42578125" bestFit="1" customWidth="1"/>
    <col min="11" max="11" width="9.42578125" customWidth="1"/>
    <col min="12" max="12" width="13.7109375" customWidth="1"/>
    <col min="13" max="13" width="12.42578125" bestFit="1" customWidth="1"/>
    <col min="14" max="14" width="15.42578125" style="2" customWidth="1"/>
    <col min="15" max="15" width="10" customWidth="1"/>
    <col min="16" max="23" width="9.140625" style="1"/>
  </cols>
  <sheetData>
    <row r="1" spans="1:23" x14ac:dyDescent="0.2">
      <c r="C1" s="135"/>
      <c r="D1" s="133"/>
      <c r="E1" s="134"/>
      <c r="F1" s="134"/>
      <c r="G1" s="134"/>
      <c r="H1" s="134"/>
      <c r="I1" s="133"/>
      <c r="J1" s="133"/>
      <c r="K1" s="133"/>
      <c r="L1" s="133"/>
      <c r="M1" s="133"/>
      <c r="N1" s="132"/>
    </row>
    <row r="2" spans="1:23" ht="38.25" customHeight="1" x14ac:dyDescent="0.25">
      <c r="C2" s="127"/>
      <c r="H2" s="131" t="s">
        <v>59</v>
      </c>
      <c r="M2" s="130" t="s">
        <v>58</v>
      </c>
      <c r="N2" s="129">
        <v>1022</v>
      </c>
      <c r="O2" s="128"/>
    </row>
    <row r="3" spans="1:23" ht="9.75" customHeight="1" x14ac:dyDescent="0.2">
      <c r="C3" s="127"/>
      <c r="N3" s="126"/>
    </row>
    <row r="4" spans="1:23" ht="15.75" x14ac:dyDescent="0.25">
      <c r="C4" s="125" t="s">
        <v>57</v>
      </c>
      <c r="D4" s="123"/>
      <c r="E4" s="124"/>
      <c r="F4" s="124"/>
      <c r="G4" s="124"/>
      <c r="H4" s="123"/>
      <c r="I4" s="123"/>
      <c r="J4" s="122"/>
      <c r="K4" s="122" t="s">
        <v>56</v>
      </c>
      <c r="L4" s="122"/>
      <c r="M4" s="122"/>
      <c r="N4" s="121"/>
      <c r="O4" s="91"/>
    </row>
    <row r="5" spans="1:23" ht="15.75" x14ac:dyDescent="0.25">
      <c r="C5" s="103" t="s">
        <v>54</v>
      </c>
      <c r="D5" s="37" t="s">
        <v>55</v>
      </c>
      <c r="E5" s="37"/>
      <c r="F5" s="37"/>
      <c r="G5" s="37"/>
      <c r="H5" s="112"/>
      <c r="I5" s="37"/>
      <c r="J5" s="111"/>
      <c r="K5" s="120" t="s">
        <v>54</v>
      </c>
      <c r="L5" s="111" t="s">
        <v>53</v>
      </c>
      <c r="M5" s="37"/>
      <c r="N5" s="99"/>
    </row>
    <row r="6" spans="1:23" ht="15.75" x14ac:dyDescent="0.25">
      <c r="C6" s="119"/>
      <c r="D6" s="37" t="s">
        <v>52</v>
      </c>
      <c r="E6" s="37"/>
      <c r="F6" s="37"/>
      <c r="G6" s="37"/>
      <c r="H6" s="112"/>
      <c r="I6" s="37"/>
      <c r="J6" s="111"/>
      <c r="K6" s="110" t="s">
        <v>51</v>
      </c>
      <c r="L6" s="37" t="s">
        <v>50</v>
      </c>
      <c r="M6" s="37"/>
      <c r="N6" s="115"/>
      <c r="R6" s="118"/>
    </row>
    <row r="7" spans="1:23" ht="15.75" x14ac:dyDescent="0.25">
      <c r="C7" s="117"/>
      <c r="D7" s="37" t="s">
        <v>49</v>
      </c>
      <c r="E7" s="37"/>
      <c r="F7" s="37"/>
      <c r="G7" s="37"/>
      <c r="H7" s="112"/>
      <c r="I7" s="37"/>
      <c r="J7" s="111"/>
      <c r="K7" s="110" t="s">
        <v>48</v>
      </c>
      <c r="L7" s="37" t="s">
        <v>47</v>
      </c>
      <c r="M7" s="116" t="s">
        <v>46</v>
      </c>
      <c r="N7" s="115">
        <v>95688</v>
      </c>
      <c r="O7" s="114"/>
    </row>
    <row r="8" spans="1:23" ht="15.75" x14ac:dyDescent="0.25">
      <c r="C8" s="113" t="s">
        <v>45</v>
      </c>
      <c r="D8" s="37" t="s">
        <v>44</v>
      </c>
      <c r="E8" s="37"/>
      <c r="F8" s="37"/>
      <c r="G8" s="37"/>
      <c r="H8" s="112"/>
      <c r="I8" s="37"/>
      <c r="J8" s="111"/>
      <c r="K8" s="110" t="s">
        <v>43</v>
      </c>
      <c r="L8" s="109" t="s">
        <v>42</v>
      </c>
      <c r="M8" s="37"/>
      <c r="N8" s="108"/>
      <c r="O8" s="93"/>
    </row>
    <row r="9" spans="1:23" ht="15.75" x14ac:dyDescent="0.25">
      <c r="C9" s="107" t="s">
        <v>41</v>
      </c>
      <c r="D9" s="37"/>
      <c r="E9" s="16"/>
      <c r="F9" s="16"/>
      <c r="G9" s="16"/>
      <c r="H9" s="65"/>
      <c r="I9" s="37"/>
      <c r="J9" s="64"/>
      <c r="K9" s="106" t="s">
        <v>40</v>
      </c>
      <c r="L9" s="105" t="s">
        <v>39</v>
      </c>
      <c r="M9" s="64" t="s">
        <v>38</v>
      </c>
      <c r="N9" s="104"/>
    </row>
    <row r="10" spans="1:23" ht="16.5" customHeight="1" x14ac:dyDescent="0.25">
      <c r="A10" s="91"/>
      <c r="C10" s="103"/>
      <c r="D10" s="102" t="s">
        <v>37</v>
      </c>
      <c r="E10" s="100"/>
      <c r="F10" s="100"/>
      <c r="G10" s="100"/>
      <c r="H10" s="101"/>
      <c r="I10" s="100"/>
      <c r="J10" s="100"/>
      <c r="K10" s="100"/>
      <c r="L10" s="100"/>
      <c r="M10" s="100"/>
      <c r="N10" s="99"/>
    </row>
    <row r="11" spans="1:23" s="91" customFormat="1" ht="15.75" x14ac:dyDescent="0.25">
      <c r="A11"/>
      <c r="C11" s="98" t="s">
        <v>36</v>
      </c>
      <c r="D11" s="96"/>
      <c r="E11" s="96" t="s">
        <v>35</v>
      </c>
      <c r="F11" s="96"/>
      <c r="G11" s="96"/>
      <c r="H11" s="97"/>
      <c r="I11" s="95"/>
      <c r="J11" s="96"/>
      <c r="K11" s="96"/>
      <c r="L11" s="96" t="s">
        <v>34</v>
      </c>
      <c r="M11" s="95"/>
      <c r="N11" s="94" t="s">
        <v>33</v>
      </c>
      <c r="O11" s="93"/>
      <c r="P11" s="92"/>
      <c r="Q11" s="92"/>
      <c r="R11" s="92"/>
      <c r="S11" s="92"/>
      <c r="T11" s="92"/>
      <c r="U11" s="92"/>
      <c r="V11" s="92"/>
      <c r="W11" s="92"/>
    </row>
    <row r="12" spans="1:23" ht="20.25" customHeight="1" x14ac:dyDescent="0.25">
      <c r="B12" s="27"/>
      <c r="C12" s="90">
        <f ca="1">TODAY()</f>
        <v>45735</v>
      </c>
      <c r="D12" s="89"/>
      <c r="E12" s="86">
        <f ca="1">+C12+21</f>
        <v>45756</v>
      </c>
      <c r="F12" s="86"/>
      <c r="G12" s="86"/>
      <c r="H12" s="88"/>
      <c r="I12" s="87"/>
      <c r="J12" s="86"/>
      <c r="K12" s="85"/>
      <c r="L12" s="17" t="s">
        <v>32</v>
      </c>
      <c r="M12" s="84"/>
      <c r="N12" s="83">
        <f ca="1">+E12</f>
        <v>45756</v>
      </c>
    </row>
    <row r="13" spans="1:23" ht="44.25" customHeight="1" x14ac:dyDescent="0.3">
      <c r="B13" s="27"/>
      <c r="C13" s="141" t="s">
        <v>31</v>
      </c>
      <c r="D13" s="142"/>
      <c r="E13" s="142"/>
      <c r="F13" s="142"/>
      <c r="G13" s="142"/>
      <c r="H13" s="142"/>
      <c r="I13" s="142"/>
      <c r="J13" s="142"/>
      <c r="K13" s="142"/>
      <c r="L13" s="142"/>
      <c r="M13" s="142"/>
      <c r="N13" s="143"/>
    </row>
    <row r="14" spans="1:23" ht="18.75" thickBot="1" x14ac:dyDescent="0.3">
      <c r="B14" s="27"/>
      <c r="C14" s="82"/>
      <c r="D14" s="81"/>
      <c r="E14" s="81"/>
      <c r="F14" s="81"/>
      <c r="G14" s="81"/>
      <c r="H14" s="80"/>
      <c r="I14" s="79"/>
      <c r="J14" s="79"/>
      <c r="K14" s="79"/>
      <c r="L14" s="80"/>
      <c r="M14" s="79"/>
      <c r="N14" s="78"/>
    </row>
    <row r="15" spans="1:23" ht="15.75" x14ac:dyDescent="0.25">
      <c r="B15" s="77"/>
      <c r="C15" s="76" t="s">
        <v>30</v>
      </c>
      <c r="D15" s="75" t="s">
        <v>29</v>
      </c>
      <c r="E15" s="74"/>
      <c r="F15" s="74"/>
      <c r="G15" s="74"/>
      <c r="H15" s="73"/>
      <c r="I15" s="72"/>
      <c r="J15" s="71" t="s">
        <v>28</v>
      </c>
      <c r="K15" s="140">
        <v>112904</v>
      </c>
      <c r="L15" s="70"/>
      <c r="M15" s="70"/>
      <c r="N15" s="69" t="s">
        <v>9</v>
      </c>
    </row>
    <row r="16" spans="1:23" ht="15.75" x14ac:dyDescent="0.25">
      <c r="B16" s="68"/>
      <c r="C16" s="67" t="s">
        <v>27</v>
      </c>
      <c r="D16" s="16" t="s">
        <v>26</v>
      </c>
      <c r="E16" s="16"/>
      <c r="F16" s="137"/>
      <c r="G16" s="137"/>
      <c r="H16" s="137"/>
      <c r="I16" s="137"/>
      <c r="J16" s="137"/>
      <c r="K16" s="65"/>
      <c r="L16" s="64"/>
      <c r="M16" s="63"/>
      <c r="N16" s="62">
        <f>SUM(N19:N24)</f>
        <v>4987.5</v>
      </c>
    </row>
    <row r="17" spans="2:21" s="1" customFormat="1" ht="15.75" x14ac:dyDescent="0.25">
      <c r="B17" s="68"/>
      <c r="C17" s="67"/>
      <c r="D17" s="16"/>
      <c r="E17" s="66"/>
      <c r="F17" s="59"/>
      <c r="G17" s="59"/>
      <c r="H17" s="59"/>
      <c r="I17" s="59"/>
      <c r="J17" s="60"/>
      <c r="K17" s="65"/>
      <c r="L17" s="64"/>
      <c r="M17" s="63"/>
      <c r="N17" s="62"/>
      <c r="O17"/>
    </row>
    <row r="18" spans="2:21" s="1" customFormat="1" ht="15.75" x14ac:dyDescent="0.25">
      <c r="B18" s="37"/>
      <c r="C18" s="61" t="s">
        <v>25</v>
      </c>
      <c r="D18" s="60" t="s">
        <v>24</v>
      </c>
      <c r="E18" s="60" t="s">
        <v>23</v>
      </c>
      <c r="F18" s="139" t="s">
        <v>99</v>
      </c>
      <c r="G18" s="139" t="s">
        <v>100</v>
      </c>
      <c r="H18" s="139" t="s">
        <v>101</v>
      </c>
      <c r="I18" s="139" t="s">
        <v>102</v>
      </c>
      <c r="J18" s="139" t="s">
        <v>103</v>
      </c>
      <c r="K18" s="60"/>
      <c r="L18" s="59" t="s">
        <v>22</v>
      </c>
      <c r="M18" s="59" t="s">
        <v>21</v>
      </c>
      <c r="N18" s="58"/>
      <c r="O18" s="57"/>
    </row>
    <row r="19" spans="2:21" s="1" customFormat="1" x14ac:dyDescent="0.2">
      <c r="B19" s="37"/>
      <c r="C19" s="54" t="s">
        <v>20</v>
      </c>
      <c r="D19" t="s">
        <v>19</v>
      </c>
      <c r="E19" s="138" t="s">
        <v>18</v>
      </c>
      <c r="F19" s="45">
        <v>10</v>
      </c>
      <c r="G19" s="45">
        <v>15</v>
      </c>
      <c r="H19" s="45">
        <v>25</v>
      </c>
      <c r="I19" s="45">
        <v>35</v>
      </c>
      <c r="J19" s="45"/>
      <c r="K19" s="45"/>
      <c r="L19" s="45">
        <f>SUM(F19:K19)</f>
        <v>85</v>
      </c>
      <c r="M19" s="44">
        <v>28.5</v>
      </c>
      <c r="N19" s="43">
        <f>+M19*L19</f>
        <v>2422.5</v>
      </c>
      <c r="O19" s="56"/>
      <c r="P19" s="55"/>
      <c r="Q19" s="55"/>
      <c r="R19" s="55"/>
      <c r="S19" s="55"/>
      <c r="T19" s="55"/>
      <c r="U19" s="55"/>
    </row>
    <row r="20" spans="2:21" s="1" customFormat="1" x14ac:dyDescent="0.2">
      <c r="B20" s="37"/>
      <c r="C20" s="54" t="s">
        <v>17</v>
      </c>
      <c r="D20" t="s">
        <v>16</v>
      </c>
      <c r="E20" s="138" t="s">
        <v>15</v>
      </c>
      <c r="F20" s="45">
        <v>10</v>
      </c>
      <c r="G20" s="45">
        <v>15</v>
      </c>
      <c r="H20" s="45">
        <v>20</v>
      </c>
      <c r="I20" s="45">
        <v>25</v>
      </c>
      <c r="J20" s="45">
        <v>20</v>
      </c>
      <c r="K20" s="45"/>
      <c r="L20" s="45">
        <f>SUM(F20:K20)</f>
        <v>90</v>
      </c>
      <c r="M20" s="44">
        <v>28.5</v>
      </c>
      <c r="N20" s="43">
        <f>+M20*L20</f>
        <v>2565</v>
      </c>
      <c r="O20" s="56"/>
      <c r="S20" s="55"/>
    </row>
    <row r="21" spans="2:21" s="1" customFormat="1" x14ac:dyDescent="0.2">
      <c r="B21" s="37"/>
      <c r="C21" s="54"/>
      <c r="D21"/>
      <c r="E21" s="3"/>
      <c r="F21" s="45"/>
      <c r="G21" s="45"/>
      <c r="H21" s="45"/>
      <c r="I21" s="45"/>
      <c r="J21" s="45"/>
      <c r="K21" s="45"/>
      <c r="L21" s="45">
        <f>SUM(F21:K21)</f>
        <v>0</v>
      </c>
      <c r="M21" s="44"/>
      <c r="N21" s="43">
        <f>+M21*L21</f>
        <v>0</v>
      </c>
      <c r="O21" s="42"/>
    </row>
    <row r="22" spans="2:21" s="1" customFormat="1" ht="15.75" x14ac:dyDescent="0.25">
      <c r="B22" s="37"/>
      <c r="C22" s="50" t="s">
        <v>14</v>
      </c>
      <c r="D22" s="53"/>
      <c r="E22" s="52"/>
      <c r="F22" s="51"/>
      <c r="G22" s="51"/>
      <c r="H22" s="51"/>
      <c r="I22" s="51"/>
      <c r="J22" s="47"/>
      <c r="K22" s="45"/>
      <c r="L22" s="45">
        <f>SUM(F22:K22)</f>
        <v>0</v>
      </c>
      <c r="M22" s="44"/>
      <c r="N22" s="43">
        <f>+M22*L22</f>
        <v>0</v>
      </c>
      <c r="O22" s="42"/>
    </row>
    <row r="23" spans="2:21" s="1" customFormat="1" x14ac:dyDescent="0.2">
      <c r="B23" s="37"/>
      <c r="C23" s="50" t="s">
        <v>13</v>
      </c>
      <c r="D23" s="49"/>
      <c r="E23" s="48"/>
      <c r="F23" s="47"/>
      <c r="G23" s="47"/>
      <c r="H23" s="47"/>
      <c r="I23" s="47"/>
      <c r="J23" s="47"/>
      <c r="K23" s="45"/>
      <c r="L23" s="45">
        <f>SUM(F23:K23)</f>
        <v>0</v>
      </c>
      <c r="M23" s="44"/>
      <c r="N23" s="43">
        <f>+M23*L23</f>
        <v>0</v>
      </c>
      <c r="O23" s="42"/>
    </row>
    <row r="24" spans="2:21" s="1" customFormat="1" x14ac:dyDescent="0.2">
      <c r="B24" s="37"/>
      <c r="C24" s="46"/>
      <c r="D24" s="45"/>
      <c r="E24" s="45"/>
      <c r="F24" s="45"/>
      <c r="G24" s="45"/>
      <c r="H24" s="45"/>
      <c r="I24" s="45"/>
      <c r="J24" s="45"/>
      <c r="K24" s="45"/>
      <c r="L24" s="45"/>
      <c r="M24" s="44"/>
      <c r="N24" s="43"/>
      <c r="O24" s="42"/>
    </row>
    <row r="25" spans="2:21" s="1" customFormat="1" ht="18.75" thickBot="1" x14ac:dyDescent="0.3">
      <c r="B25" s="37"/>
      <c r="C25" s="41" t="s">
        <v>12</v>
      </c>
      <c r="D25" s="40"/>
      <c r="E25" s="40"/>
      <c r="F25" s="40"/>
      <c r="G25" s="40"/>
      <c r="H25" s="40"/>
      <c r="I25" s="40"/>
      <c r="J25" s="40"/>
      <c r="K25" s="40"/>
      <c r="L25" s="40" t="s">
        <v>11</v>
      </c>
      <c r="M25" s="40"/>
      <c r="N25" s="39"/>
      <c r="O25" s="38"/>
    </row>
    <row r="26" spans="2:21" s="1" customFormat="1" ht="16.5" thickBot="1" x14ac:dyDescent="0.3">
      <c r="B26" s="37"/>
      <c r="C26" s="36" t="s">
        <v>10</v>
      </c>
      <c r="D26" s="35"/>
      <c r="E26" s="35"/>
      <c r="F26" s="35">
        <f t="shared" ref="F26:L26" si="0">SUM(F19:F24)</f>
        <v>20</v>
      </c>
      <c r="G26" s="35">
        <f t="shared" si="0"/>
        <v>30</v>
      </c>
      <c r="H26" s="35">
        <f t="shared" si="0"/>
        <v>45</v>
      </c>
      <c r="I26" s="35">
        <f t="shared" si="0"/>
        <v>60</v>
      </c>
      <c r="J26" s="35">
        <f t="shared" si="0"/>
        <v>20</v>
      </c>
      <c r="K26" s="35">
        <f t="shared" si="0"/>
        <v>0</v>
      </c>
      <c r="L26" s="35">
        <f t="shared" si="0"/>
        <v>175</v>
      </c>
      <c r="M26" s="34" t="s">
        <v>9</v>
      </c>
      <c r="N26" s="33">
        <f>+N16</f>
        <v>4987.5</v>
      </c>
      <c r="O26" s="32"/>
    </row>
    <row r="27" spans="2:21" s="1" customFormat="1" x14ac:dyDescent="0.2">
      <c r="B27"/>
      <c r="C27" s="31"/>
      <c r="D27" s="30"/>
      <c r="E27" s="29"/>
      <c r="F27" s="29"/>
      <c r="G27" s="29"/>
      <c r="H27" s="30"/>
      <c r="I27" s="30"/>
      <c r="J27" s="30"/>
      <c r="K27" s="30"/>
      <c r="L27" s="29"/>
      <c r="M27" s="29"/>
      <c r="N27" s="28"/>
      <c r="O27"/>
    </row>
    <row r="28" spans="2:21" s="1" customFormat="1" ht="15.75" x14ac:dyDescent="0.25">
      <c r="B28" s="27"/>
      <c r="C28" s="144" t="s">
        <v>8</v>
      </c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146"/>
      <c r="O28"/>
    </row>
    <row r="29" spans="2:21" s="1" customFormat="1" ht="15.6" customHeight="1" x14ac:dyDescent="0.25">
      <c r="B29"/>
      <c r="C29" s="23" t="s">
        <v>7</v>
      </c>
      <c r="D29" s="22"/>
      <c r="E29" s="26"/>
      <c r="F29" s="26"/>
      <c r="G29" s="24" t="s">
        <v>6</v>
      </c>
      <c r="H29" s="25"/>
      <c r="I29" s="22"/>
      <c r="J29" s="22"/>
      <c r="K29" s="20"/>
      <c r="L29" s="22"/>
      <c r="M29" s="22"/>
      <c r="N29" s="19"/>
      <c r="O29"/>
    </row>
    <row r="30" spans="2:21" s="1" customFormat="1" ht="15.75" x14ac:dyDescent="0.25">
      <c r="B30"/>
      <c r="C30" s="23" t="s">
        <v>5</v>
      </c>
      <c r="D30" s="22"/>
      <c r="E30" s="21"/>
      <c r="F30" s="22"/>
      <c r="G30" s="24" t="s">
        <v>4</v>
      </c>
      <c r="H30" s="22"/>
      <c r="I30" s="22"/>
      <c r="J30" s="22"/>
      <c r="K30" s="20"/>
      <c r="L30" s="22"/>
      <c r="M30" s="20"/>
      <c r="N30" s="19"/>
      <c r="O30"/>
    </row>
    <row r="31" spans="2:21" s="1" customFormat="1" ht="15.75" x14ac:dyDescent="0.25">
      <c r="B31"/>
      <c r="C31" s="23" t="s">
        <v>3</v>
      </c>
      <c r="D31" s="22"/>
      <c r="E31" s="21"/>
      <c r="F31" s="21"/>
      <c r="G31" s="24" t="s">
        <v>2</v>
      </c>
      <c r="H31" s="22"/>
      <c r="I31" s="22"/>
      <c r="J31" s="22"/>
      <c r="K31" s="20"/>
      <c r="L31" s="20"/>
      <c r="M31" s="20"/>
      <c r="N31" s="19"/>
      <c r="O31"/>
    </row>
    <row r="32" spans="2:21" s="1" customFormat="1" ht="15.75" x14ac:dyDescent="0.25">
      <c r="B32"/>
      <c r="C32" s="23" t="s">
        <v>1</v>
      </c>
      <c r="D32" s="22"/>
      <c r="E32" s="21"/>
      <c r="F32" s="21"/>
      <c r="G32" s="21"/>
      <c r="H32" s="20"/>
      <c r="I32" s="20"/>
      <c r="J32" s="20"/>
      <c r="K32" s="20"/>
      <c r="L32" s="20"/>
      <c r="M32" s="20"/>
      <c r="N32" s="19"/>
      <c r="O32"/>
    </row>
    <row r="33" spans="3:14" ht="18" x14ac:dyDescent="0.25">
      <c r="C33" s="18"/>
      <c r="D33" s="17"/>
      <c r="E33" s="16"/>
      <c r="F33" s="16"/>
      <c r="G33" s="16"/>
      <c r="H33" s="15"/>
      <c r="I33" s="15"/>
      <c r="J33" s="15"/>
      <c r="K33" s="15"/>
      <c r="L33" s="15"/>
      <c r="M33" s="15"/>
      <c r="N33" s="14"/>
    </row>
    <row r="34" spans="3:14" x14ac:dyDescent="0.2">
      <c r="C34" s="13"/>
      <c r="D34" s="12"/>
      <c r="E34" s="12"/>
      <c r="F34" s="12"/>
      <c r="G34" s="12"/>
      <c r="H34" s="11"/>
      <c r="I34" s="10"/>
      <c r="J34" s="10"/>
      <c r="K34" s="10"/>
      <c r="L34" s="10"/>
      <c r="M34" s="10"/>
      <c r="N34" s="9"/>
    </row>
    <row r="35" spans="3:14" ht="18.75" thickBot="1" x14ac:dyDescent="0.3">
      <c r="C35" s="8" t="s">
        <v>0</v>
      </c>
      <c r="D35" s="7"/>
      <c r="E35" s="6"/>
      <c r="F35" s="6"/>
      <c r="G35" s="6"/>
      <c r="H35" s="7"/>
      <c r="I35" s="7"/>
      <c r="J35" s="7"/>
      <c r="K35" s="7"/>
      <c r="L35" s="6"/>
      <c r="M35" s="5"/>
      <c r="N35" s="4"/>
    </row>
    <row r="36" spans="3:14" x14ac:dyDescent="0.2">
      <c r="C36"/>
      <c r="D36" s="3"/>
      <c r="E36"/>
      <c r="F36"/>
      <c r="G36"/>
      <c r="I36" s="3"/>
      <c r="J36" s="3"/>
      <c r="K36" s="3"/>
    </row>
    <row r="37" spans="3:14" x14ac:dyDescent="0.2">
      <c r="C37"/>
      <c r="D37" s="3"/>
      <c r="E37"/>
      <c r="F37"/>
      <c r="G37"/>
      <c r="I37" s="3"/>
      <c r="J37" s="3"/>
      <c r="K37" s="3"/>
    </row>
    <row r="38" spans="3:14" x14ac:dyDescent="0.2">
      <c r="C38"/>
      <c r="D38" s="3"/>
      <c r="E38"/>
      <c r="F38"/>
      <c r="G38"/>
      <c r="I38" s="3"/>
      <c r="J38" s="3"/>
      <c r="K38" s="3"/>
    </row>
    <row r="39" spans="3:14" x14ac:dyDescent="0.2">
      <c r="C39"/>
      <c r="D39" s="3"/>
      <c r="E39"/>
      <c r="F39"/>
      <c r="G39"/>
      <c r="I39" s="3"/>
      <c r="J39" s="3"/>
      <c r="K39" s="3"/>
    </row>
    <row r="40" spans="3:14" x14ac:dyDescent="0.2">
      <c r="C40"/>
      <c r="D40" s="3"/>
      <c r="E40"/>
      <c r="F40"/>
      <c r="G40"/>
      <c r="I40" s="3"/>
      <c r="J40" s="3"/>
      <c r="K40" s="3"/>
    </row>
    <row r="41" spans="3:14" x14ac:dyDescent="0.2">
      <c r="C41"/>
      <c r="D41" s="3"/>
      <c r="E41"/>
      <c r="F41"/>
      <c r="G41"/>
      <c r="I41" s="3"/>
      <c r="J41" s="3"/>
      <c r="K41" s="3"/>
    </row>
    <row r="42" spans="3:14" x14ac:dyDescent="0.2">
      <c r="C42"/>
      <c r="D42" s="3"/>
      <c r="E42"/>
      <c r="F42"/>
      <c r="G42"/>
      <c r="I42" s="3"/>
      <c r="J42" s="3"/>
      <c r="K42" s="3"/>
    </row>
    <row r="43" spans="3:14" x14ac:dyDescent="0.2">
      <c r="C43"/>
      <c r="D43" s="3"/>
      <c r="E43"/>
      <c r="F43"/>
      <c r="G43"/>
      <c r="I43" s="3"/>
      <c r="J43" s="3"/>
      <c r="K43" s="3"/>
    </row>
    <row r="44" spans="3:14" x14ac:dyDescent="0.2">
      <c r="C44"/>
      <c r="D44" s="3"/>
      <c r="E44"/>
      <c r="F44"/>
      <c r="G44"/>
      <c r="I44" s="3"/>
      <c r="J44" s="3"/>
      <c r="K44" s="3"/>
    </row>
    <row r="45" spans="3:14" x14ac:dyDescent="0.2">
      <c r="C45"/>
      <c r="D45" s="3"/>
      <c r="E45"/>
      <c r="F45"/>
      <c r="G45"/>
      <c r="I45" s="3"/>
      <c r="J45" s="3"/>
      <c r="K45" s="3"/>
    </row>
    <row r="46" spans="3:14" x14ac:dyDescent="0.2">
      <c r="C46"/>
      <c r="D46" s="3"/>
      <c r="E46"/>
      <c r="F46"/>
      <c r="G46"/>
      <c r="I46" s="3"/>
      <c r="J46" s="3"/>
      <c r="K46" s="3"/>
    </row>
    <row r="47" spans="3:14" x14ac:dyDescent="0.2">
      <c r="C47"/>
      <c r="D47" s="3"/>
      <c r="E47"/>
      <c r="F47"/>
      <c r="G47"/>
      <c r="I47" s="3"/>
      <c r="J47" s="3"/>
      <c r="K47" s="3"/>
    </row>
    <row r="48" spans="3:14" x14ac:dyDescent="0.2">
      <c r="C48"/>
      <c r="D48" s="3"/>
      <c r="E48"/>
      <c r="F48"/>
      <c r="G48"/>
      <c r="I48" s="3"/>
      <c r="J48" s="3"/>
      <c r="K48" s="3"/>
    </row>
    <row r="49" spans="3:11" x14ac:dyDescent="0.2">
      <c r="C49"/>
      <c r="D49" s="3"/>
      <c r="E49"/>
      <c r="F49"/>
      <c r="G49"/>
      <c r="I49" s="3"/>
      <c r="J49" s="3"/>
      <c r="K49" s="3"/>
    </row>
    <row r="50" spans="3:11" x14ac:dyDescent="0.2">
      <c r="C50"/>
      <c r="D50" s="3"/>
      <c r="E50"/>
      <c r="F50"/>
      <c r="G50"/>
      <c r="I50" s="3"/>
      <c r="J50" s="3"/>
      <c r="K50" s="3"/>
    </row>
    <row r="51" spans="3:11" x14ac:dyDescent="0.2">
      <c r="C51"/>
      <c r="D51" s="3"/>
      <c r="E51"/>
      <c r="F51"/>
      <c r="G51"/>
      <c r="I51" s="3"/>
      <c r="J51" s="3"/>
      <c r="K51" s="3"/>
    </row>
    <row r="52" spans="3:11" x14ac:dyDescent="0.2">
      <c r="C52"/>
      <c r="D52" s="3"/>
      <c r="E52"/>
      <c r="F52"/>
      <c r="G52"/>
      <c r="I52" s="3"/>
      <c r="J52" s="3"/>
      <c r="K52" s="3"/>
    </row>
    <row r="53" spans="3:11" x14ac:dyDescent="0.2">
      <c r="C53"/>
      <c r="D53" s="3"/>
      <c r="E53"/>
      <c r="F53"/>
      <c r="G53"/>
      <c r="I53" s="3"/>
      <c r="J53" s="3"/>
      <c r="K53" s="3"/>
    </row>
    <row r="54" spans="3:11" x14ac:dyDescent="0.2">
      <c r="C54"/>
      <c r="D54" s="3"/>
      <c r="E54"/>
      <c r="F54"/>
      <c r="G54"/>
      <c r="I54" s="3"/>
      <c r="J54" s="3"/>
      <c r="K54" s="3"/>
    </row>
    <row r="55" spans="3:11" x14ac:dyDescent="0.2">
      <c r="C55"/>
      <c r="D55" s="3"/>
      <c r="E55"/>
      <c r="F55"/>
      <c r="G55"/>
      <c r="I55" s="3"/>
      <c r="J55" s="3"/>
      <c r="K55" s="3"/>
    </row>
    <row r="56" spans="3:11" x14ac:dyDescent="0.2">
      <c r="C56"/>
      <c r="D56" s="3"/>
      <c r="E56"/>
      <c r="F56"/>
      <c r="G56"/>
      <c r="I56" s="3"/>
      <c r="J56" s="3"/>
      <c r="K56" s="3"/>
    </row>
  </sheetData>
  <mergeCells count="2">
    <mergeCell ref="C13:N13"/>
    <mergeCell ref="C28:N28"/>
  </mergeCells>
  <hyperlinks>
    <hyperlink ref="L8" r:id="rId1" xr:uid="{2CF985CF-7929-44C9-A634-8A396C972D34}"/>
  </hyperlinks>
  <pageMargins left="0.25" right="0.25" top="0.79" bottom="0.33" header="0.17" footer="0.2"/>
  <pageSetup scale="66" fitToHeight="0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8BC81-73C8-4C92-A83E-AF577BC7386B}">
  <sheetPr>
    <tabColor rgb="FFFFFF00"/>
    <pageSetUpPr fitToPage="1"/>
  </sheetPr>
  <dimension ref="A1:W56"/>
  <sheetViews>
    <sheetView topLeftCell="B1" zoomScale="75" workbookViewId="0">
      <selection activeCell="C25" sqref="C25"/>
    </sheetView>
  </sheetViews>
  <sheetFormatPr defaultRowHeight="15" x14ac:dyDescent="0.2"/>
  <cols>
    <col min="1" max="1" width="2.140625" hidden="1" customWidth="1"/>
    <col min="2" max="2" width="3" customWidth="1"/>
    <col min="3" max="3" width="20.5703125" style="3" customWidth="1"/>
    <col min="4" max="4" width="15.28515625" customWidth="1"/>
    <col min="5" max="7" width="11.28515625" style="3" customWidth="1"/>
    <col min="8" max="8" width="10.28515625" style="3" customWidth="1"/>
    <col min="9" max="9" width="9.42578125" customWidth="1"/>
    <col min="10" max="10" width="10.42578125" bestFit="1" customWidth="1"/>
    <col min="11" max="11" width="9.42578125" customWidth="1"/>
    <col min="12" max="12" width="13.7109375" customWidth="1"/>
    <col min="13" max="13" width="10" customWidth="1"/>
    <col min="14" max="14" width="15.42578125" style="2" customWidth="1"/>
    <col min="15" max="15" width="10" customWidth="1"/>
    <col min="16" max="23" width="9.140625" style="1"/>
  </cols>
  <sheetData>
    <row r="1" spans="1:23" x14ac:dyDescent="0.2">
      <c r="C1" s="135"/>
      <c r="D1" s="133"/>
      <c r="E1" s="134"/>
      <c r="F1" s="134"/>
      <c r="G1" s="134"/>
      <c r="H1" s="134"/>
      <c r="I1" s="133"/>
      <c r="J1" s="133"/>
      <c r="K1" s="133"/>
      <c r="L1" s="133"/>
      <c r="M1" s="133"/>
      <c r="N1" s="132"/>
    </row>
    <row r="2" spans="1:23" ht="38.25" customHeight="1" x14ac:dyDescent="0.25">
      <c r="C2" s="127"/>
      <c r="H2" s="131" t="s">
        <v>59</v>
      </c>
      <c r="M2" s="130" t="s">
        <v>58</v>
      </c>
      <c r="N2" s="129">
        <v>1023</v>
      </c>
      <c r="O2" s="128"/>
    </row>
    <row r="3" spans="1:23" ht="9.75" customHeight="1" x14ac:dyDescent="0.2">
      <c r="C3" s="127"/>
      <c r="N3" s="126"/>
    </row>
    <row r="4" spans="1:23" ht="15.75" x14ac:dyDescent="0.25">
      <c r="C4" s="125" t="s">
        <v>57</v>
      </c>
      <c r="D4" s="123"/>
      <c r="E4" s="124"/>
      <c r="F4" s="124"/>
      <c r="G4" s="124"/>
      <c r="H4" s="123"/>
      <c r="I4" s="123"/>
      <c r="J4" s="122"/>
      <c r="K4" s="122" t="s">
        <v>56</v>
      </c>
      <c r="L4" s="122"/>
      <c r="M4" s="122"/>
      <c r="N4" s="121"/>
      <c r="O4" s="91"/>
    </row>
    <row r="5" spans="1:23" ht="15.75" x14ac:dyDescent="0.25">
      <c r="C5" s="103" t="s">
        <v>54</v>
      </c>
      <c r="D5" s="37" t="s">
        <v>55</v>
      </c>
      <c r="E5" s="37"/>
      <c r="F5" s="37"/>
      <c r="G5" s="37"/>
      <c r="H5" s="112"/>
      <c r="I5" s="37"/>
      <c r="J5" s="111"/>
      <c r="K5" s="120" t="s">
        <v>54</v>
      </c>
      <c r="L5" s="111" t="s">
        <v>53</v>
      </c>
      <c r="M5" s="37"/>
      <c r="N5" s="99"/>
    </row>
    <row r="6" spans="1:23" ht="15.75" x14ac:dyDescent="0.25">
      <c r="C6" s="119"/>
      <c r="D6" s="37" t="s">
        <v>52</v>
      </c>
      <c r="E6" s="37"/>
      <c r="F6" s="37"/>
      <c r="G6" s="37"/>
      <c r="H6" s="112"/>
      <c r="I6" s="37"/>
      <c r="J6" s="111"/>
      <c r="K6" s="110" t="s">
        <v>51</v>
      </c>
      <c r="L6" s="37" t="s">
        <v>50</v>
      </c>
      <c r="M6" s="37"/>
      <c r="N6" s="115"/>
      <c r="R6" s="118"/>
    </row>
    <row r="7" spans="1:23" ht="15.75" x14ac:dyDescent="0.25">
      <c r="C7" s="117"/>
      <c r="D7" s="37" t="s">
        <v>49</v>
      </c>
      <c r="E7" s="37"/>
      <c r="F7" s="37"/>
      <c r="G7" s="37"/>
      <c r="H7" s="112"/>
      <c r="I7" s="37"/>
      <c r="J7" s="111"/>
      <c r="K7" s="110" t="s">
        <v>48</v>
      </c>
      <c r="L7" s="37" t="s">
        <v>47</v>
      </c>
      <c r="M7" s="116" t="s">
        <v>46</v>
      </c>
      <c r="N7" s="115">
        <v>95688</v>
      </c>
      <c r="O7" s="114"/>
    </row>
    <row r="8" spans="1:23" ht="15.75" x14ac:dyDescent="0.25">
      <c r="C8" s="113" t="s">
        <v>45</v>
      </c>
      <c r="D8" s="37" t="s">
        <v>44</v>
      </c>
      <c r="E8" s="37"/>
      <c r="F8" s="37"/>
      <c r="G8" s="37"/>
      <c r="H8" s="112"/>
      <c r="I8" s="37"/>
      <c r="J8" s="111"/>
      <c r="K8" s="110" t="s">
        <v>43</v>
      </c>
      <c r="L8" s="109" t="s">
        <v>42</v>
      </c>
      <c r="M8" s="37"/>
      <c r="N8" s="108"/>
      <c r="O8" s="93"/>
    </row>
    <row r="9" spans="1:23" ht="15.75" x14ac:dyDescent="0.25">
      <c r="C9" s="107" t="s">
        <v>41</v>
      </c>
      <c r="D9" s="37"/>
      <c r="E9" s="16"/>
      <c r="F9" s="16"/>
      <c r="G9" s="16"/>
      <c r="H9" s="65"/>
      <c r="I9" s="37"/>
      <c r="J9" s="64"/>
      <c r="K9" s="106" t="s">
        <v>40</v>
      </c>
      <c r="L9" s="105" t="s">
        <v>39</v>
      </c>
      <c r="M9" s="64" t="s">
        <v>38</v>
      </c>
      <c r="N9" s="104"/>
    </row>
    <row r="10" spans="1:23" ht="16.5" customHeight="1" x14ac:dyDescent="0.25">
      <c r="A10" s="91"/>
      <c r="C10" s="103"/>
      <c r="D10" s="102" t="s">
        <v>37</v>
      </c>
      <c r="E10" s="100"/>
      <c r="F10" s="100"/>
      <c r="G10" s="100"/>
      <c r="H10" s="101"/>
      <c r="I10" s="100"/>
      <c r="J10" s="100"/>
      <c r="K10" s="100"/>
      <c r="L10" s="100"/>
      <c r="M10" s="100"/>
      <c r="N10" s="99"/>
    </row>
    <row r="11" spans="1:23" s="91" customFormat="1" ht="15.75" x14ac:dyDescent="0.25">
      <c r="A11"/>
      <c r="C11" s="98" t="s">
        <v>36</v>
      </c>
      <c r="D11" s="96"/>
      <c r="E11" s="96" t="s">
        <v>35</v>
      </c>
      <c r="F11" s="96"/>
      <c r="G11" s="96"/>
      <c r="H11" s="97"/>
      <c r="I11" s="95"/>
      <c r="J11" s="96"/>
      <c r="K11" s="96"/>
      <c r="L11" s="96" t="s">
        <v>34</v>
      </c>
      <c r="M11" s="95"/>
      <c r="N11" s="94" t="s">
        <v>33</v>
      </c>
      <c r="O11" s="93"/>
      <c r="P11" s="92"/>
      <c r="Q11" s="92"/>
      <c r="R11" s="92"/>
      <c r="S11" s="92"/>
      <c r="T11" s="92"/>
      <c r="U11" s="92"/>
      <c r="V11" s="92"/>
      <c r="W11" s="92"/>
    </row>
    <row r="12" spans="1:23" ht="20.25" customHeight="1" x14ac:dyDescent="0.25">
      <c r="B12" s="27"/>
      <c r="C12" s="90">
        <f ca="1">TODAY()</f>
        <v>45735</v>
      </c>
      <c r="D12" s="89"/>
      <c r="E12" s="86">
        <f ca="1">+C12+21</f>
        <v>45756</v>
      </c>
      <c r="F12" s="86"/>
      <c r="G12" s="86"/>
      <c r="H12" s="88"/>
      <c r="I12" s="87"/>
      <c r="J12" s="86"/>
      <c r="K12" s="85"/>
      <c r="L12" s="17" t="s">
        <v>32</v>
      </c>
      <c r="M12" s="84"/>
      <c r="N12" s="83">
        <f ca="1">+E12</f>
        <v>45756</v>
      </c>
    </row>
    <row r="13" spans="1:23" ht="44.25" customHeight="1" x14ac:dyDescent="0.3">
      <c r="B13" s="27"/>
      <c r="C13" s="141" t="s">
        <v>31</v>
      </c>
      <c r="D13" s="142"/>
      <c r="E13" s="142"/>
      <c r="F13" s="142"/>
      <c r="G13" s="142"/>
      <c r="H13" s="142"/>
      <c r="I13" s="142"/>
      <c r="J13" s="142"/>
      <c r="K13" s="142"/>
      <c r="L13" s="142"/>
      <c r="M13" s="142"/>
      <c r="N13" s="143"/>
    </row>
    <row r="14" spans="1:23" ht="18.75" thickBot="1" x14ac:dyDescent="0.3">
      <c r="B14" s="27"/>
      <c r="C14" s="82"/>
      <c r="D14" s="81"/>
      <c r="E14" s="81"/>
      <c r="F14" s="81"/>
      <c r="G14" s="81"/>
      <c r="H14" s="80"/>
      <c r="I14" s="79"/>
      <c r="J14" s="79"/>
      <c r="K14" s="79"/>
      <c r="L14" s="80"/>
      <c r="M14" s="79"/>
      <c r="N14" s="78"/>
    </row>
    <row r="15" spans="1:23" ht="15.75" x14ac:dyDescent="0.25">
      <c r="B15" s="77"/>
      <c r="C15" s="76" t="s">
        <v>30</v>
      </c>
      <c r="D15" s="75" t="s">
        <v>66</v>
      </c>
      <c r="E15" s="74"/>
      <c r="F15" s="74"/>
      <c r="G15" s="74"/>
      <c r="H15" s="73"/>
      <c r="I15" s="72"/>
      <c r="J15" s="71" t="s">
        <v>28</v>
      </c>
      <c r="K15" s="140">
        <v>112989</v>
      </c>
      <c r="L15" s="70"/>
      <c r="M15" s="70"/>
      <c r="N15" s="69" t="s">
        <v>9</v>
      </c>
    </row>
    <row r="16" spans="1:23" ht="15.75" x14ac:dyDescent="0.25">
      <c r="B16" s="68"/>
      <c r="C16" s="67" t="s">
        <v>27</v>
      </c>
      <c r="D16" s="16" t="s">
        <v>65</v>
      </c>
      <c r="E16" s="16"/>
      <c r="F16" s="137"/>
      <c r="G16" s="137"/>
      <c r="H16" s="137"/>
      <c r="I16" s="137"/>
      <c r="J16" s="137"/>
      <c r="K16" s="65"/>
      <c r="L16" s="64"/>
      <c r="M16" s="63"/>
      <c r="N16" s="62">
        <f>SUM(N19:N24)</f>
        <v>2655.5</v>
      </c>
    </row>
    <row r="17" spans="2:21" s="1" customFormat="1" ht="15.75" x14ac:dyDescent="0.25">
      <c r="B17" s="68"/>
      <c r="C17" s="67"/>
      <c r="D17" s="16"/>
      <c r="E17" s="66"/>
      <c r="F17" s="59"/>
      <c r="G17" s="59"/>
      <c r="H17" s="59"/>
      <c r="I17" s="59"/>
      <c r="J17" s="60"/>
      <c r="K17" s="65"/>
      <c r="L17" s="64"/>
      <c r="M17" s="63"/>
      <c r="N17" s="62"/>
      <c r="O17"/>
    </row>
    <row r="18" spans="2:21" s="1" customFormat="1" ht="15.75" x14ac:dyDescent="0.25">
      <c r="B18" s="37"/>
      <c r="C18" s="61" t="s">
        <v>25</v>
      </c>
      <c r="D18" s="60" t="s">
        <v>24</v>
      </c>
      <c r="E18" s="60" t="s">
        <v>23</v>
      </c>
      <c r="F18" s="139" t="s">
        <v>99</v>
      </c>
      <c r="G18" s="139" t="s">
        <v>100</v>
      </c>
      <c r="H18" s="139" t="s">
        <v>101</v>
      </c>
      <c r="I18" s="139" t="s">
        <v>102</v>
      </c>
      <c r="J18" s="139" t="s">
        <v>103</v>
      </c>
      <c r="K18" s="60"/>
      <c r="L18" s="59" t="s">
        <v>22</v>
      </c>
      <c r="M18" s="59" t="s">
        <v>21</v>
      </c>
      <c r="N18" s="58"/>
      <c r="O18" s="57"/>
    </row>
    <row r="19" spans="2:21" s="1" customFormat="1" x14ac:dyDescent="0.2">
      <c r="B19" s="37"/>
      <c r="C19" s="54" t="s">
        <v>64</v>
      </c>
      <c r="D19" t="s">
        <v>63</v>
      </c>
      <c r="E19" s="138" t="s">
        <v>62</v>
      </c>
      <c r="F19" s="45">
        <v>10</v>
      </c>
      <c r="G19" s="45">
        <v>15</v>
      </c>
      <c r="H19" s="45">
        <v>25</v>
      </c>
      <c r="I19" s="45">
        <v>16</v>
      </c>
      <c r="J19" s="45"/>
      <c r="K19" s="45"/>
      <c r="L19" s="45">
        <f>SUM(F19:K19)</f>
        <v>66</v>
      </c>
      <c r="M19" s="44">
        <v>23.5</v>
      </c>
      <c r="N19" s="43">
        <f>+M19*L19</f>
        <v>1551</v>
      </c>
      <c r="O19" s="56"/>
      <c r="P19" s="55"/>
      <c r="Q19" s="55"/>
      <c r="R19" s="55"/>
      <c r="S19" s="55"/>
      <c r="T19" s="55"/>
      <c r="U19" s="55"/>
    </row>
    <row r="20" spans="2:21" s="1" customFormat="1" x14ac:dyDescent="0.2">
      <c r="B20" s="37"/>
      <c r="C20" s="54" t="s">
        <v>61</v>
      </c>
      <c r="D20" t="s">
        <v>60</v>
      </c>
      <c r="E20" s="138" t="s">
        <v>60</v>
      </c>
      <c r="F20" s="45">
        <v>10</v>
      </c>
      <c r="G20" s="45">
        <v>15</v>
      </c>
      <c r="H20" s="45">
        <v>22</v>
      </c>
      <c r="I20" s="45"/>
      <c r="J20" s="45"/>
      <c r="K20" s="45"/>
      <c r="L20" s="45">
        <f>SUM(F20:K20)</f>
        <v>47</v>
      </c>
      <c r="M20" s="44">
        <v>23.5</v>
      </c>
      <c r="N20" s="43">
        <f>+M20*L20</f>
        <v>1104.5</v>
      </c>
      <c r="O20" s="56"/>
      <c r="S20" s="55"/>
    </row>
    <row r="21" spans="2:21" s="1" customFormat="1" x14ac:dyDescent="0.2">
      <c r="B21" s="37"/>
      <c r="C21" s="54"/>
      <c r="D21"/>
      <c r="E21" s="3"/>
      <c r="F21" s="45"/>
      <c r="G21" s="45"/>
      <c r="H21" s="45"/>
      <c r="I21" s="45"/>
      <c r="J21" s="45"/>
      <c r="K21" s="45"/>
      <c r="L21" s="45">
        <f>SUM(F21:K21)</f>
        <v>0</v>
      </c>
      <c r="M21" s="44"/>
      <c r="N21" s="43">
        <f>+M21*L21</f>
        <v>0</v>
      </c>
      <c r="O21" s="42"/>
    </row>
    <row r="22" spans="2:21" s="1" customFormat="1" ht="15.75" x14ac:dyDescent="0.25">
      <c r="B22" s="37"/>
      <c r="C22" s="50" t="s">
        <v>14</v>
      </c>
      <c r="D22" s="53"/>
      <c r="E22" s="52"/>
      <c r="F22" s="51"/>
      <c r="G22" s="51"/>
      <c r="H22" s="51"/>
      <c r="I22" s="51"/>
      <c r="J22" s="47"/>
      <c r="K22" s="45"/>
      <c r="L22" s="45">
        <f>SUM(F22:K22)</f>
        <v>0</v>
      </c>
      <c r="M22" s="44"/>
      <c r="N22" s="43">
        <f>+M22*L22</f>
        <v>0</v>
      </c>
      <c r="O22" s="42"/>
    </row>
    <row r="23" spans="2:21" s="1" customFormat="1" x14ac:dyDescent="0.2">
      <c r="B23" s="37"/>
      <c r="C23" s="50" t="s">
        <v>13</v>
      </c>
      <c r="D23" s="49"/>
      <c r="E23" s="48"/>
      <c r="F23" s="47"/>
      <c r="G23" s="47"/>
      <c r="H23" s="47"/>
      <c r="I23" s="47"/>
      <c r="J23" s="47"/>
      <c r="K23" s="45"/>
      <c r="L23" s="45">
        <f>SUM(F23:K23)</f>
        <v>0</v>
      </c>
      <c r="M23" s="44"/>
      <c r="N23" s="43">
        <f>+M23*L23</f>
        <v>0</v>
      </c>
      <c r="O23" s="42"/>
    </row>
    <row r="24" spans="2:21" s="1" customFormat="1" x14ac:dyDescent="0.2">
      <c r="B24" s="37"/>
      <c r="C24" s="46"/>
      <c r="D24" s="45"/>
      <c r="E24" s="45"/>
      <c r="F24" s="45"/>
      <c r="G24" s="45"/>
      <c r="H24" s="45"/>
      <c r="I24" s="45"/>
      <c r="J24" s="45"/>
      <c r="K24" s="45"/>
      <c r="L24" s="45"/>
      <c r="M24" s="44"/>
      <c r="N24" s="43"/>
      <c r="O24" s="42"/>
    </row>
    <row r="25" spans="2:21" s="1" customFormat="1" ht="18.75" thickBot="1" x14ac:dyDescent="0.3">
      <c r="B25" s="37"/>
      <c r="C25" s="41" t="s">
        <v>12</v>
      </c>
      <c r="D25" s="40"/>
      <c r="E25" s="40"/>
      <c r="F25" s="40"/>
      <c r="G25" s="40"/>
      <c r="H25" s="40"/>
      <c r="I25" s="40"/>
      <c r="J25" s="40"/>
      <c r="K25" s="40"/>
      <c r="L25" s="40" t="s">
        <v>11</v>
      </c>
      <c r="M25" s="40"/>
      <c r="N25" s="39"/>
      <c r="O25" s="38"/>
    </row>
    <row r="26" spans="2:21" s="1" customFormat="1" ht="16.5" thickBot="1" x14ac:dyDescent="0.3">
      <c r="B26" s="37"/>
      <c r="C26" s="36" t="s">
        <v>10</v>
      </c>
      <c r="D26" s="35"/>
      <c r="E26" s="35"/>
      <c r="F26" s="35">
        <f t="shared" ref="F26:L26" si="0">SUM(F19:F24)</f>
        <v>20</v>
      </c>
      <c r="G26" s="35">
        <f t="shared" si="0"/>
        <v>30</v>
      </c>
      <c r="H26" s="35">
        <f t="shared" si="0"/>
        <v>47</v>
      </c>
      <c r="I26" s="35">
        <f t="shared" si="0"/>
        <v>16</v>
      </c>
      <c r="J26" s="35">
        <f t="shared" si="0"/>
        <v>0</v>
      </c>
      <c r="K26" s="35">
        <f t="shared" si="0"/>
        <v>0</v>
      </c>
      <c r="L26" s="35">
        <f t="shared" si="0"/>
        <v>113</v>
      </c>
      <c r="M26" s="34" t="s">
        <v>9</v>
      </c>
      <c r="N26" s="33">
        <f>+N16</f>
        <v>2655.5</v>
      </c>
      <c r="O26" s="32"/>
    </row>
    <row r="27" spans="2:21" s="1" customFormat="1" x14ac:dyDescent="0.2">
      <c r="B27"/>
      <c r="C27" s="31"/>
      <c r="D27" s="30"/>
      <c r="E27" s="29"/>
      <c r="F27" s="29"/>
      <c r="G27" s="29"/>
      <c r="H27" s="30"/>
      <c r="I27" s="30"/>
      <c r="J27" s="30"/>
      <c r="K27" s="30"/>
      <c r="L27" s="29"/>
      <c r="M27" s="29"/>
      <c r="N27" s="28"/>
      <c r="O27"/>
    </row>
    <row r="28" spans="2:21" s="1" customFormat="1" ht="15.75" x14ac:dyDescent="0.25">
      <c r="B28" s="27"/>
      <c r="C28" s="144" t="s">
        <v>8</v>
      </c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146"/>
      <c r="O28"/>
    </row>
    <row r="29" spans="2:21" s="1" customFormat="1" ht="15.6" customHeight="1" x14ac:dyDescent="0.25">
      <c r="B29"/>
      <c r="C29" s="23" t="s">
        <v>7</v>
      </c>
      <c r="D29" s="22"/>
      <c r="E29" s="26"/>
      <c r="F29" s="26"/>
      <c r="G29" s="24" t="s">
        <v>6</v>
      </c>
      <c r="H29" s="25"/>
      <c r="I29" s="22"/>
      <c r="J29" s="22"/>
      <c r="K29" s="20"/>
      <c r="L29" s="22"/>
      <c r="M29" s="22"/>
      <c r="N29" s="19"/>
      <c r="O29"/>
    </row>
    <row r="30" spans="2:21" s="1" customFormat="1" ht="15.75" x14ac:dyDescent="0.25">
      <c r="B30"/>
      <c r="C30" s="23" t="s">
        <v>5</v>
      </c>
      <c r="D30" s="22"/>
      <c r="E30" s="21"/>
      <c r="F30" s="22"/>
      <c r="G30" s="24" t="s">
        <v>4</v>
      </c>
      <c r="H30" s="22"/>
      <c r="I30" s="22"/>
      <c r="J30" s="22"/>
      <c r="K30" s="20"/>
      <c r="L30" s="22"/>
      <c r="M30" s="20"/>
      <c r="N30" s="19"/>
      <c r="O30"/>
    </row>
    <row r="31" spans="2:21" s="1" customFormat="1" ht="15.75" x14ac:dyDescent="0.25">
      <c r="B31"/>
      <c r="C31" s="23" t="s">
        <v>3</v>
      </c>
      <c r="D31" s="22"/>
      <c r="E31" s="21"/>
      <c r="F31" s="21"/>
      <c r="G31" s="24" t="s">
        <v>2</v>
      </c>
      <c r="H31" s="22"/>
      <c r="I31" s="22"/>
      <c r="J31" s="22"/>
      <c r="K31" s="20"/>
      <c r="L31" s="20"/>
      <c r="M31" s="20"/>
      <c r="N31" s="19"/>
      <c r="O31"/>
    </row>
    <row r="32" spans="2:21" s="1" customFormat="1" ht="15.75" x14ac:dyDescent="0.25">
      <c r="B32"/>
      <c r="C32" s="23" t="s">
        <v>1</v>
      </c>
      <c r="D32" s="22"/>
      <c r="E32" s="21"/>
      <c r="F32" s="21"/>
      <c r="G32" s="21"/>
      <c r="H32" s="20"/>
      <c r="I32" s="20"/>
      <c r="J32" s="20"/>
      <c r="K32" s="20"/>
      <c r="L32" s="20"/>
      <c r="M32" s="20"/>
      <c r="N32" s="19"/>
      <c r="O32"/>
    </row>
    <row r="33" spans="3:14" ht="18" x14ac:dyDescent="0.25">
      <c r="C33" s="18"/>
      <c r="D33" s="17"/>
      <c r="E33" s="16"/>
      <c r="F33" s="16"/>
      <c r="G33" s="16"/>
      <c r="H33" s="15"/>
      <c r="I33" s="15"/>
      <c r="J33" s="15"/>
      <c r="K33" s="15"/>
      <c r="L33" s="15"/>
      <c r="M33" s="15"/>
      <c r="N33" s="14"/>
    </row>
    <row r="34" spans="3:14" x14ac:dyDescent="0.2">
      <c r="C34" s="13"/>
      <c r="D34" s="12"/>
      <c r="E34" s="12"/>
      <c r="F34" s="12"/>
      <c r="G34" s="12"/>
      <c r="H34" s="11"/>
      <c r="I34" s="10"/>
      <c r="J34" s="10"/>
      <c r="K34" s="10"/>
      <c r="L34" s="10"/>
      <c r="M34" s="10"/>
      <c r="N34" s="9"/>
    </row>
    <row r="35" spans="3:14" ht="18.75" thickBot="1" x14ac:dyDescent="0.3">
      <c r="C35" s="8" t="s">
        <v>0</v>
      </c>
      <c r="D35" s="7"/>
      <c r="E35" s="6"/>
      <c r="F35" s="6"/>
      <c r="G35" s="6"/>
      <c r="H35" s="7"/>
      <c r="I35" s="7"/>
      <c r="J35" s="7"/>
      <c r="K35" s="7"/>
      <c r="L35" s="6"/>
      <c r="M35" s="5"/>
      <c r="N35" s="4"/>
    </row>
    <row r="36" spans="3:14" x14ac:dyDescent="0.2">
      <c r="C36"/>
      <c r="D36" s="3"/>
      <c r="E36"/>
      <c r="F36"/>
      <c r="G36"/>
      <c r="I36" s="3"/>
      <c r="J36" s="3"/>
      <c r="K36" s="3"/>
    </row>
    <row r="37" spans="3:14" x14ac:dyDescent="0.2">
      <c r="C37"/>
      <c r="D37" s="3"/>
      <c r="E37"/>
      <c r="F37"/>
      <c r="G37"/>
      <c r="I37" s="3"/>
      <c r="J37" s="3"/>
      <c r="K37" s="3"/>
    </row>
    <row r="38" spans="3:14" x14ac:dyDescent="0.2">
      <c r="C38"/>
      <c r="D38" s="3"/>
      <c r="E38"/>
      <c r="F38"/>
      <c r="G38"/>
      <c r="I38" s="3"/>
      <c r="J38" s="3"/>
      <c r="K38" s="3"/>
    </row>
    <row r="39" spans="3:14" x14ac:dyDescent="0.2">
      <c r="C39"/>
      <c r="D39" s="3"/>
      <c r="E39"/>
      <c r="F39"/>
      <c r="G39"/>
      <c r="I39" s="3"/>
      <c r="J39" s="3"/>
      <c r="K39" s="3"/>
    </row>
    <row r="40" spans="3:14" x14ac:dyDescent="0.2">
      <c r="C40"/>
      <c r="D40" s="3"/>
      <c r="E40"/>
      <c r="F40"/>
      <c r="G40"/>
      <c r="I40" s="3"/>
      <c r="J40" s="3"/>
      <c r="K40" s="3"/>
    </row>
    <row r="41" spans="3:14" x14ac:dyDescent="0.2">
      <c r="C41"/>
      <c r="D41" s="3"/>
      <c r="E41"/>
      <c r="F41"/>
      <c r="G41"/>
      <c r="I41" s="3"/>
      <c r="J41" s="3"/>
      <c r="K41" s="3"/>
    </row>
    <row r="42" spans="3:14" x14ac:dyDescent="0.2">
      <c r="C42"/>
      <c r="D42" s="3"/>
      <c r="E42"/>
      <c r="F42"/>
      <c r="G42"/>
      <c r="I42" s="3"/>
      <c r="J42" s="3"/>
      <c r="K42" s="3"/>
    </row>
    <row r="43" spans="3:14" x14ac:dyDescent="0.2">
      <c r="C43"/>
      <c r="D43" s="3"/>
      <c r="E43"/>
      <c r="F43"/>
      <c r="G43"/>
      <c r="I43" s="3"/>
      <c r="J43" s="3"/>
      <c r="K43" s="3"/>
    </row>
    <row r="44" spans="3:14" x14ac:dyDescent="0.2">
      <c r="C44"/>
      <c r="D44" s="3"/>
      <c r="E44"/>
      <c r="F44"/>
      <c r="G44"/>
      <c r="I44" s="3"/>
      <c r="J44" s="3"/>
      <c r="K44" s="3"/>
    </row>
    <row r="45" spans="3:14" x14ac:dyDescent="0.2">
      <c r="C45"/>
      <c r="D45" s="3"/>
      <c r="E45"/>
      <c r="F45"/>
      <c r="G45"/>
      <c r="I45" s="3"/>
      <c r="J45" s="3"/>
      <c r="K45" s="3"/>
    </row>
    <row r="46" spans="3:14" x14ac:dyDescent="0.2">
      <c r="C46"/>
      <c r="D46" s="3"/>
      <c r="E46"/>
      <c r="F46"/>
      <c r="G46"/>
      <c r="I46" s="3"/>
      <c r="J46" s="3"/>
      <c r="K46" s="3"/>
    </row>
    <row r="47" spans="3:14" x14ac:dyDescent="0.2">
      <c r="C47"/>
      <c r="D47" s="3"/>
      <c r="E47"/>
      <c r="F47"/>
      <c r="G47"/>
      <c r="I47" s="3"/>
      <c r="J47" s="3"/>
      <c r="K47" s="3"/>
    </row>
    <row r="48" spans="3:14" x14ac:dyDescent="0.2">
      <c r="C48"/>
      <c r="D48" s="3"/>
      <c r="E48"/>
      <c r="F48"/>
      <c r="G48"/>
      <c r="I48" s="3"/>
      <c r="J48" s="3"/>
      <c r="K48" s="3"/>
    </row>
    <row r="49" spans="3:11" x14ac:dyDescent="0.2">
      <c r="C49"/>
      <c r="D49" s="3"/>
      <c r="E49"/>
      <c r="F49"/>
      <c r="G49"/>
      <c r="I49" s="3"/>
      <c r="J49" s="3"/>
      <c r="K49" s="3"/>
    </row>
    <row r="50" spans="3:11" x14ac:dyDescent="0.2">
      <c r="C50"/>
      <c r="D50" s="3"/>
      <c r="E50"/>
      <c r="F50"/>
      <c r="G50"/>
      <c r="I50" s="3"/>
      <c r="J50" s="3"/>
      <c r="K50" s="3"/>
    </row>
    <row r="51" spans="3:11" x14ac:dyDescent="0.2">
      <c r="C51"/>
      <c r="D51" s="3"/>
      <c r="E51"/>
      <c r="F51"/>
      <c r="G51"/>
      <c r="I51" s="3"/>
      <c r="J51" s="3"/>
      <c r="K51" s="3"/>
    </row>
    <row r="52" spans="3:11" x14ac:dyDescent="0.2">
      <c r="C52"/>
      <c r="D52" s="3"/>
      <c r="E52"/>
      <c r="F52"/>
      <c r="G52"/>
      <c r="I52" s="3"/>
      <c r="J52" s="3"/>
      <c r="K52" s="3"/>
    </row>
    <row r="53" spans="3:11" x14ac:dyDescent="0.2">
      <c r="C53"/>
      <c r="D53" s="3"/>
      <c r="E53"/>
      <c r="F53"/>
      <c r="G53"/>
      <c r="I53" s="3"/>
      <c r="J53" s="3"/>
      <c r="K53" s="3"/>
    </row>
    <row r="54" spans="3:11" x14ac:dyDescent="0.2">
      <c r="C54"/>
      <c r="D54" s="3"/>
      <c r="E54"/>
      <c r="F54"/>
      <c r="G54"/>
      <c r="I54" s="3"/>
      <c r="J54" s="3"/>
      <c r="K54" s="3"/>
    </row>
    <row r="55" spans="3:11" x14ac:dyDescent="0.2">
      <c r="C55"/>
      <c r="D55" s="3"/>
      <c r="E55"/>
      <c r="F55"/>
      <c r="G55"/>
      <c r="I55" s="3"/>
      <c r="J55" s="3"/>
      <c r="K55" s="3"/>
    </row>
    <row r="56" spans="3:11" x14ac:dyDescent="0.2">
      <c r="C56"/>
      <c r="D56" s="3"/>
      <c r="E56"/>
      <c r="F56"/>
      <c r="G56"/>
      <c r="I56" s="3"/>
      <c r="J56" s="3"/>
      <c r="K56" s="3"/>
    </row>
  </sheetData>
  <mergeCells count="2">
    <mergeCell ref="C13:N13"/>
    <mergeCell ref="C28:N28"/>
  </mergeCells>
  <hyperlinks>
    <hyperlink ref="L8" r:id="rId1" xr:uid="{56A7BCB7-E949-4EFD-BFBF-5F591C859118}"/>
  </hyperlinks>
  <pageMargins left="0.25" right="0.25" top="0.79" bottom="0.33" header="0.17" footer="0.2"/>
  <pageSetup scale="67" fitToHeight="0" orientation="portrait" r:id="rId2"/>
  <headerFooter alignWithMargins="0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DC10D-98BA-42DF-9DB7-496207B14288}">
  <sheetPr>
    <tabColor rgb="FFFFFF00"/>
    <pageSetUpPr fitToPage="1"/>
  </sheetPr>
  <dimension ref="A1:W57"/>
  <sheetViews>
    <sheetView topLeftCell="B1" zoomScale="75" workbookViewId="0">
      <selection activeCell="H21" sqref="H21"/>
    </sheetView>
  </sheetViews>
  <sheetFormatPr defaultRowHeight="15" x14ac:dyDescent="0.2"/>
  <cols>
    <col min="1" max="1" width="2.140625" hidden="1" customWidth="1"/>
    <col min="2" max="2" width="3" customWidth="1"/>
    <col min="3" max="3" width="20.5703125" style="3" customWidth="1"/>
    <col min="4" max="4" width="19.28515625" customWidth="1"/>
    <col min="5" max="7" width="11.28515625" style="3" customWidth="1"/>
    <col min="8" max="8" width="10.28515625" style="3" customWidth="1"/>
    <col min="9" max="9" width="9.42578125" customWidth="1"/>
    <col min="10" max="10" width="10.42578125" bestFit="1" customWidth="1"/>
    <col min="11" max="11" width="9.42578125" customWidth="1"/>
    <col min="12" max="12" width="13.7109375" customWidth="1"/>
    <col min="13" max="13" width="10" customWidth="1"/>
    <col min="14" max="14" width="15.42578125" style="2" customWidth="1"/>
    <col min="15" max="15" width="10" customWidth="1"/>
    <col min="16" max="23" width="9.140625" style="1"/>
  </cols>
  <sheetData>
    <row r="1" spans="1:23" x14ac:dyDescent="0.2">
      <c r="C1" s="135"/>
      <c r="D1" s="133"/>
      <c r="E1" s="134"/>
      <c r="F1" s="134"/>
      <c r="G1" s="134"/>
      <c r="H1" s="134"/>
      <c r="I1" s="133"/>
      <c r="J1" s="133"/>
      <c r="K1" s="133"/>
      <c r="L1" s="133"/>
      <c r="M1" s="133"/>
      <c r="N1" s="132"/>
    </row>
    <row r="2" spans="1:23" ht="38.25" customHeight="1" x14ac:dyDescent="0.25">
      <c r="C2" s="127"/>
      <c r="H2" s="131" t="s">
        <v>59</v>
      </c>
      <c r="M2" s="130" t="s">
        <v>58</v>
      </c>
      <c r="N2" s="129">
        <v>1024</v>
      </c>
      <c r="O2" s="128"/>
    </row>
    <row r="3" spans="1:23" ht="9.75" customHeight="1" x14ac:dyDescent="0.2">
      <c r="C3" s="127"/>
      <c r="N3" s="126"/>
    </row>
    <row r="4" spans="1:23" ht="15.75" x14ac:dyDescent="0.25">
      <c r="C4" s="125" t="s">
        <v>57</v>
      </c>
      <c r="D4" s="123"/>
      <c r="E4" s="124"/>
      <c r="F4" s="124"/>
      <c r="G4" s="124"/>
      <c r="H4" s="123"/>
      <c r="I4" s="123"/>
      <c r="J4" s="122"/>
      <c r="K4" s="122" t="s">
        <v>56</v>
      </c>
      <c r="L4" s="122"/>
      <c r="M4" s="122"/>
      <c r="N4" s="121"/>
      <c r="O4" s="91"/>
    </row>
    <row r="5" spans="1:23" ht="15.75" x14ac:dyDescent="0.25">
      <c r="C5" s="103" t="s">
        <v>54</v>
      </c>
      <c r="D5" s="37" t="s">
        <v>55</v>
      </c>
      <c r="E5" s="37"/>
      <c r="F5" s="37"/>
      <c r="G5" s="37"/>
      <c r="H5" s="112"/>
      <c r="I5" s="37"/>
      <c r="J5" s="111"/>
      <c r="K5" s="120" t="s">
        <v>54</v>
      </c>
      <c r="L5" s="111" t="s">
        <v>53</v>
      </c>
      <c r="M5" s="37"/>
      <c r="N5" s="99"/>
    </row>
    <row r="6" spans="1:23" ht="15.75" x14ac:dyDescent="0.25">
      <c r="C6" s="119"/>
      <c r="D6" s="37" t="s">
        <v>52</v>
      </c>
      <c r="E6" s="37"/>
      <c r="F6" s="37"/>
      <c r="G6" s="37"/>
      <c r="H6" s="112"/>
      <c r="I6" s="37"/>
      <c r="J6" s="111"/>
      <c r="K6" s="110" t="s">
        <v>51</v>
      </c>
      <c r="L6" s="37" t="s">
        <v>50</v>
      </c>
      <c r="M6" s="37"/>
      <c r="N6" s="115"/>
      <c r="R6" s="118"/>
    </row>
    <row r="7" spans="1:23" ht="15.75" x14ac:dyDescent="0.25">
      <c r="C7" s="117"/>
      <c r="D7" s="37" t="s">
        <v>49</v>
      </c>
      <c r="E7" s="37"/>
      <c r="F7" s="37"/>
      <c r="G7" s="37"/>
      <c r="H7" s="112"/>
      <c r="I7" s="37"/>
      <c r="J7" s="111"/>
      <c r="K7" s="110" t="s">
        <v>48</v>
      </c>
      <c r="L7" s="37" t="s">
        <v>47</v>
      </c>
      <c r="M7" s="116" t="s">
        <v>46</v>
      </c>
      <c r="N7" s="115">
        <v>95688</v>
      </c>
      <c r="O7" s="114"/>
    </row>
    <row r="8" spans="1:23" ht="15.75" x14ac:dyDescent="0.25">
      <c r="C8" s="113" t="s">
        <v>45</v>
      </c>
      <c r="D8" s="37" t="s">
        <v>44</v>
      </c>
      <c r="E8" s="37"/>
      <c r="F8" s="37"/>
      <c r="G8" s="37"/>
      <c r="H8" s="112"/>
      <c r="I8" s="37"/>
      <c r="J8" s="111"/>
      <c r="K8" s="110" t="s">
        <v>43</v>
      </c>
      <c r="L8" s="109" t="s">
        <v>42</v>
      </c>
      <c r="M8" s="37"/>
      <c r="N8" s="108"/>
      <c r="O8" s="93"/>
    </row>
    <row r="9" spans="1:23" ht="15.75" x14ac:dyDescent="0.25">
      <c r="C9" s="107" t="s">
        <v>41</v>
      </c>
      <c r="D9" s="37"/>
      <c r="E9" s="16"/>
      <c r="F9" s="16"/>
      <c r="G9" s="16"/>
      <c r="H9" s="65"/>
      <c r="I9" s="37"/>
      <c r="J9" s="64"/>
      <c r="K9" s="106" t="s">
        <v>40</v>
      </c>
      <c r="L9" s="105" t="s">
        <v>39</v>
      </c>
      <c r="M9" s="64" t="s">
        <v>38</v>
      </c>
      <c r="N9" s="104"/>
    </row>
    <row r="10" spans="1:23" ht="16.5" customHeight="1" x14ac:dyDescent="0.25">
      <c r="A10" s="91"/>
      <c r="C10" s="103"/>
      <c r="D10" s="102" t="s">
        <v>37</v>
      </c>
      <c r="E10" s="100"/>
      <c r="F10" s="100"/>
      <c r="G10" s="100"/>
      <c r="H10" s="101"/>
      <c r="I10" s="100"/>
      <c r="J10" s="100"/>
      <c r="K10" s="100"/>
      <c r="L10" s="100"/>
      <c r="M10" s="100"/>
      <c r="N10" s="99"/>
    </row>
    <row r="11" spans="1:23" s="91" customFormat="1" ht="15.75" x14ac:dyDescent="0.25">
      <c r="A11"/>
      <c r="C11" s="98" t="s">
        <v>36</v>
      </c>
      <c r="D11" s="96"/>
      <c r="E11" s="96" t="s">
        <v>35</v>
      </c>
      <c r="F11" s="96"/>
      <c r="G11" s="96"/>
      <c r="H11" s="97"/>
      <c r="I11" s="95"/>
      <c r="J11" s="96"/>
      <c r="K11" s="96"/>
      <c r="L11" s="96" t="s">
        <v>34</v>
      </c>
      <c r="M11" s="95"/>
      <c r="N11" s="94" t="s">
        <v>33</v>
      </c>
      <c r="O11" s="93"/>
      <c r="P11" s="92"/>
      <c r="Q11" s="92"/>
      <c r="R11" s="92"/>
      <c r="S11" s="92"/>
      <c r="T11" s="92"/>
      <c r="U11" s="1"/>
      <c r="V11" s="1"/>
      <c r="W11" s="92"/>
    </row>
    <row r="12" spans="1:23" ht="20.25" customHeight="1" x14ac:dyDescent="0.25">
      <c r="B12" s="27"/>
      <c r="C12" s="90">
        <f ca="1">TODAY()</f>
        <v>45735</v>
      </c>
      <c r="D12" s="89"/>
      <c r="E12" s="86">
        <f ca="1">+C12+21</f>
        <v>45756</v>
      </c>
      <c r="F12" s="86"/>
      <c r="G12" s="86"/>
      <c r="H12" s="88"/>
      <c r="I12" s="87"/>
      <c r="J12" s="86"/>
      <c r="K12" s="85"/>
      <c r="L12" s="17" t="s">
        <v>32</v>
      </c>
      <c r="M12" s="84"/>
      <c r="N12" s="83">
        <f ca="1">+E12</f>
        <v>45756</v>
      </c>
    </row>
    <row r="13" spans="1:23" ht="44.25" customHeight="1" x14ac:dyDescent="0.3">
      <c r="B13" s="27"/>
      <c r="C13" s="141" t="s">
        <v>31</v>
      </c>
      <c r="D13" s="142"/>
      <c r="E13" s="142"/>
      <c r="F13" s="142"/>
      <c r="G13" s="142"/>
      <c r="H13" s="142"/>
      <c r="I13" s="142"/>
      <c r="J13" s="142"/>
      <c r="K13" s="142"/>
      <c r="L13" s="142"/>
      <c r="M13" s="142"/>
      <c r="N13" s="143"/>
    </row>
    <row r="14" spans="1:23" ht="18.75" thickBot="1" x14ac:dyDescent="0.3">
      <c r="B14" s="27"/>
      <c r="C14" s="82"/>
      <c r="D14" s="81"/>
      <c r="E14" s="81"/>
      <c r="F14" s="81"/>
      <c r="G14" s="81"/>
      <c r="H14" s="80"/>
      <c r="I14" s="79"/>
      <c r="J14" s="79"/>
      <c r="K14" s="79"/>
      <c r="L14" s="80"/>
      <c r="M14" s="79"/>
      <c r="N14" s="78"/>
    </row>
    <row r="15" spans="1:23" ht="15.75" x14ac:dyDescent="0.25">
      <c r="B15" s="77"/>
      <c r="C15" s="76" t="s">
        <v>30</v>
      </c>
      <c r="D15" s="75" t="s">
        <v>88</v>
      </c>
      <c r="E15" s="74"/>
      <c r="F15" s="74"/>
      <c r="G15" s="74"/>
      <c r="H15" s="73"/>
      <c r="I15" s="72"/>
      <c r="J15" s="71" t="s">
        <v>28</v>
      </c>
      <c r="K15" s="140">
        <v>122936</v>
      </c>
      <c r="L15" s="70"/>
      <c r="M15" s="70"/>
      <c r="N15" s="69" t="s">
        <v>9</v>
      </c>
    </row>
    <row r="16" spans="1:23" ht="15.75" x14ac:dyDescent="0.25">
      <c r="B16" s="68"/>
      <c r="C16" s="67" t="s">
        <v>27</v>
      </c>
      <c r="D16" s="16" t="s">
        <v>87</v>
      </c>
      <c r="E16" s="16"/>
      <c r="F16" s="137" t="str">
        <f>F18&amp;F17</f>
        <v/>
      </c>
      <c r="G16" s="137"/>
      <c r="H16" s="137"/>
      <c r="I16" s="137"/>
      <c r="J16" s="137"/>
      <c r="K16" s="65"/>
      <c r="L16" s="64"/>
      <c r="M16" s="63"/>
      <c r="N16" s="62">
        <f>SUM(N18:N25)</f>
        <v>3290</v>
      </c>
    </row>
    <row r="17" spans="1:22" s="1" customFormat="1" ht="18.75" x14ac:dyDescent="0.3">
      <c r="A17"/>
      <c r="B17" s="37"/>
      <c r="C17" s="61" t="s">
        <v>25</v>
      </c>
      <c r="D17" s="60" t="s">
        <v>24</v>
      </c>
      <c r="E17" s="60" t="s">
        <v>23</v>
      </c>
      <c r="F17" s="60"/>
      <c r="G17" s="139" t="s">
        <v>99</v>
      </c>
      <c r="H17" s="139" t="s">
        <v>100</v>
      </c>
      <c r="I17" s="139" t="s">
        <v>101</v>
      </c>
      <c r="J17" s="139" t="s">
        <v>102</v>
      </c>
      <c r="K17" s="139" t="s">
        <v>103</v>
      </c>
      <c r="L17" s="59" t="s">
        <v>22</v>
      </c>
      <c r="M17" s="59" t="s">
        <v>21</v>
      </c>
      <c r="N17" s="58"/>
      <c r="O17" s="57"/>
      <c r="V17" s="136"/>
    </row>
    <row r="18" spans="1:22" s="1" customFormat="1" x14ac:dyDescent="0.2">
      <c r="A18"/>
      <c r="B18" s="37"/>
      <c r="C18" s="54" t="s">
        <v>86</v>
      </c>
      <c r="D18" s="118" t="s">
        <v>85</v>
      </c>
      <c r="E18" s="138" t="s">
        <v>84</v>
      </c>
      <c r="F18" s="45"/>
      <c r="G18" s="45">
        <v>4</v>
      </c>
      <c r="H18" s="45">
        <v>10</v>
      </c>
      <c r="I18" s="45">
        <v>8</v>
      </c>
      <c r="J18" s="45">
        <v>3</v>
      </c>
      <c r="K18" s="45">
        <v>2</v>
      </c>
      <c r="L18" s="45">
        <f t="shared" ref="L18:L24" si="0">SUM(F18:K18)</f>
        <v>27</v>
      </c>
      <c r="M18" s="44">
        <v>23.5</v>
      </c>
      <c r="N18" s="43">
        <f t="shared" ref="N18:N24" si="1">+M18*L18</f>
        <v>634.5</v>
      </c>
      <c r="O18" s="42"/>
    </row>
    <row r="19" spans="1:22" s="1" customFormat="1" x14ac:dyDescent="0.2">
      <c r="A19"/>
      <c r="B19" s="37"/>
      <c r="C19" s="54" t="s">
        <v>83</v>
      </c>
      <c r="D19" s="118" t="s">
        <v>82</v>
      </c>
      <c r="E19" s="138" t="s">
        <v>81</v>
      </c>
      <c r="F19" s="45"/>
      <c r="G19" s="45"/>
      <c r="H19" s="45"/>
      <c r="I19" s="45"/>
      <c r="J19" s="45">
        <v>16</v>
      </c>
      <c r="K19" s="45"/>
      <c r="L19" s="45">
        <f t="shared" si="0"/>
        <v>16</v>
      </c>
      <c r="M19" s="44">
        <v>23.5</v>
      </c>
      <c r="N19" s="43">
        <f t="shared" si="1"/>
        <v>376</v>
      </c>
      <c r="O19" s="42"/>
    </row>
    <row r="20" spans="1:22" s="1" customFormat="1" x14ac:dyDescent="0.2">
      <c r="A20"/>
      <c r="B20" s="37"/>
      <c r="C20" s="54" t="s">
        <v>80</v>
      </c>
      <c r="D20" s="118" t="s">
        <v>79</v>
      </c>
      <c r="E20" s="138" t="s">
        <v>78</v>
      </c>
      <c r="F20" s="45"/>
      <c r="G20" s="45"/>
      <c r="H20" s="45"/>
      <c r="I20" s="45"/>
      <c r="J20" s="45">
        <v>18</v>
      </c>
      <c r="K20" s="45"/>
      <c r="L20" s="45">
        <f t="shared" si="0"/>
        <v>18</v>
      </c>
      <c r="M20" s="44">
        <v>23.5</v>
      </c>
      <c r="N20" s="43">
        <f t="shared" si="1"/>
        <v>423</v>
      </c>
      <c r="O20" s="42"/>
    </row>
    <row r="21" spans="1:22" s="1" customFormat="1" x14ac:dyDescent="0.2">
      <c r="A21"/>
      <c r="B21" s="37"/>
      <c r="C21" s="54" t="s">
        <v>77</v>
      </c>
      <c r="D21" s="118" t="s">
        <v>76</v>
      </c>
      <c r="E21" s="138" t="s">
        <v>75</v>
      </c>
      <c r="F21" s="45"/>
      <c r="G21" s="45">
        <v>2</v>
      </c>
      <c r="H21" s="45">
        <v>4</v>
      </c>
      <c r="I21" s="45">
        <v>2</v>
      </c>
      <c r="J21" s="45">
        <v>1</v>
      </c>
      <c r="K21" s="45">
        <v>2</v>
      </c>
      <c r="L21" s="45">
        <f t="shared" si="0"/>
        <v>11</v>
      </c>
      <c r="M21" s="44">
        <v>23.5</v>
      </c>
      <c r="N21" s="43">
        <f t="shared" si="1"/>
        <v>258.5</v>
      </c>
      <c r="O21" s="56"/>
      <c r="P21" s="55"/>
      <c r="Q21" s="55"/>
      <c r="S21" s="55"/>
      <c r="T21" s="55"/>
      <c r="U21" s="55"/>
    </row>
    <row r="22" spans="1:22" s="1" customFormat="1" x14ac:dyDescent="0.2">
      <c r="A22"/>
      <c r="B22" s="37"/>
      <c r="C22" s="54" t="s">
        <v>13</v>
      </c>
      <c r="D22" s="118" t="s">
        <v>74</v>
      </c>
      <c r="E22" s="138" t="s">
        <v>73</v>
      </c>
      <c r="F22" s="45"/>
      <c r="G22" s="45">
        <v>1</v>
      </c>
      <c r="H22" s="45">
        <v>0</v>
      </c>
      <c r="I22" s="45">
        <v>4</v>
      </c>
      <c r="J22" s="45">
        <v>1</v>
      </c>
      <c r="K22" s="45">
        <v>3</v>
      </c>
      <c r="L22" s="45">
        <f t="shared" si="0"/>
        <v>9</v>
      </c>
      <c r="M22" s="44">
        <v>23.5</v>
      </c>
      <c r="N22" s="43">
        <f t="shared" si="1"/>
        <v>211.5</v>
      </c>
      <c r="O22" s="42"/>
    </row>
    <row r="23" spans="1:22" s="1" customFormat="1" x14ac:dyDescent="0.2">
      <c r="A23"/>
      <c r="B23" s="37"/>
      <c r="C23" s="54" t="s">
        <v>72</v>
      </c>
      <c r="D23" s="118" t="s">
        <v>71</v>
      </c>
      <c r="E23" s="138" t="s">
        <v>70</v>
      </c>
      <c r="F23" s="45"/>
      <c r="G23" s="45"/>
      <c r="H23" s="45"/>
      <c r="I23" s="45"/>
      <c r="J23" s="45">
        <v>39</v>
      </c>
      <c r="K23" s="45"/>
      <c r="L23" s="45">
        <f t="shared" si="0"/>
        <v>39</v>
      </c>
      <c r="M23" s="44">
        <v>23.5</v>
      </c>
      <c r="N23" s="43">
        <f t="shared" si="1"/>
        <v>916.5</v>
      </c>
      <c r="O23" s="56"/>
      <c r="S23" s="55"/>
    </row>
    <row r="24" spans="1:22" s="1" customFormat="1" x14ac:dyDescent="0.2">
      <c r="A24"/>
      <c r="B24" s="37"/>
      <c r="C24" s="54" t="s">
        <v>69</v>
      </c>
      <c r="D24" s="118" t="s">
        <v>68</v>
      </c>
      <c r="E24" s="138" t="s">
        <v>67</v>
      </c>
      <c r="F24" s="45"/>
      <c r="G24" s="45"/>
      <c r="H24" s="45"/>
      <c r="I24" s="45"/>
      <c r="J24" s="45">
        <v>20</v>
      </c>
      <c r="K24" s="45"/>
      <c r="L24" s="45">
        <f t="shared" si="0"/>
        <v>20</v>
      </c>
      <c r="M24" s="44">
        <v>23.5</v>
      </c>
      <c r="N24" s="43">
        <f t="shared" si="1"/>
        <v>470</v>
      </c>
      <c r="O24" s="42"/>
    </row>
    <row r="25" spans="1:22" s="1" customFormat="1" ht="15.75" x14ac:dyDescent="0.25">
      <c r="A25"/>
      <c r="B25" s="37"/>
      <c r="C25" s="50" t="s">
        <v>14</v>
      </c>
      <c r="D25" s="53"/>
      <c r="E25" s="52"/>
      <c r="F25" s="51"/>
      <c r="G25" s="51"/>
      <c r="H25" s="51"/>
      <c r="I25" s="51"/>
      <c r="J25" s="47"/>
      <c r="K25" s="45"/>
      <c r="L25" s="45"/>
      <c r="M25" s="44"/>
      <c r="N25" s="43"/>
      <c r="O25" s="42"/>
    </row>
    <row r="26" spans="1:22" s="1" customFormat="1" ht="18.75" thickBot="1" x14ac:dyDescent="0.3">
      <c r="A26"/>
      <c r="B26" s="37"/>
      <c r="C26" s="41" t="s">
        <v>12</v>
      </c>
      <c r="D26" s="40"/>
      <c r="E26" s="40"/>
      <c r="F26" s="40"/>
      <c r="G26" s="40"/>
      <c r="H26" s="40"/>
      <c r="I26" s="40"/>
      <c r="J26" s="40"/>
      <c r="K26" s="40"/>
      <c r="L26" s="40" t="s">
        <v>11</v>
      </c>
      <c r="M26" s="40"/>
      <c r="N26" s="39"/>
      <c r="O26" s="38"/>
    </row>
    <row r="27" spans="1:22" s="1" customFormat="1" ht="16.5" thickBot="1" x14ac:dyDescent="0.3">
      <c r="A27"/>
      <c r="B27" s="37"/>
      <c r="C27" s="36" t="s">
        <v>10</v>
      </c>
      <c r="D27" s="35"/>
      <c r="E27" s="35"/>
      <c r="F27" s="35">
        <f t="shared" ref="F27:L27" si="2">SUM(F18:F25)</f>
        <v>0</v>
      </c>
      <c r="G27" s="35">
        <f t="shared" si="2"/>
        <v>7</v>
      </c>
      <c r="H27" s="35">
        <f t="shared" si="2"/>
        <v>14</v>
      </c>
      <c r="I27" s="35">
        <f t="shared" si="2"/>
        <v>14</v>
      </c>
      <c r="J27" s="35">
        <f t="shared" si="2"/>
        <v>98</v>
      </c>
      <c r="K27" s="35">
        <f t="shared" si="2"/>
        <v>7</v>
      </c>
      <c r="L27" s="35">
        <f t="shared" si="2"/>
        <v>140</v>
      </c>
      <c r="M27" s="34" t="s">
        <v>9</v>
      </c>
      <c r="N27" s="33">
        <f>+N16</f>
        <v>3290</v>
      </c>
      <c r="O27" s="32"/>
    </row>
    <row r="28" spans="1:22" s="1" customFormat="1" x14ac:dyDescent="0.2">
      <c r="A28"/>
      <c r="B28"/>
      <c r="C28" s="31"/>
      <c r="D28" s="30"/>
      <c r="E28" s="29"/>
      <c r="F28" s="29"/>
      <c r="G28" s="29"/>
      <c r="H28" s="30"/>
      <c r="I28" s="30"/>
      <c r="J28" s="30"/>
      <c r="K28" s="30"/>
      <c r="L28" s="29"/>
      <c r="M28" s="29"/>
      <c r="N28" s="28"/>
      <c r="O28"/>
    </row>
    <row r="29" spans="1:22" s="1" customFormat="1" ht="15.75" x14ac:dyDescent="0.25">
      <c r="A29"/>
      <c r="B29" s="27"/>
      <c r="C29" s="144" t="s">
        <v>8</v>
      </c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6"/>
      <c r="O29"/>
    </row>
    <row r="30" spans="1:22" s="1" customFormat="1" ht="15.6" customHeight="1" x14ac:dyDescent="0.25">
      <c r="A30"/>
      <c r="B30"/>
      <c r="C30" s="23" t="s">
        <v>7</v>
      </c>
      <c r="D30" s="22"/>
      <c r="E30" s="26"/>
      <c r="F30" s="26"/>
      <c r="G30" s="24" t="s">
        <v>6</v>
      </c>
      <c r="H30" s="25"/>
      <c r="I30" s="22"/>
      <c r="J30" s="22"/>
      <c r="K30" s="20"/>
      <c r="L30" s="22"/>
      <c r="M30" s="22"/>
      <c r="N30" s="19"/>
      <c r="O30"/>
    </row>
    <row r="31" spans="1:22" s="1" customFormat="1" ht="15.75" x14ac:dyDescent="0.25">
      <c r="A31"/>
      <c r="B31"/>
      <c r="C31" s="23" t="s">
        <v>5</v>
      </c>
      <c r="D31" s="22"/>
      <c r="E31" s="21"/>
      <c r="F31" s="22"/>
      <c r="G31" s="24" t="s">
        <v>4</v>
      </c>
      <c r="H31" s="22"/>
      <c r="I31" s="22"/>
      <c r="J31" s="22"/>
      <c r="K31" s="20"/>
      <c r="L31" s="22"/>
      <c r="M31" s="20"/>
      <c r="N31" s="19"/>
      <c r="O31"/>
    </row>
    <row r="32" spans="1:22" s="1" customFormat="1" ht="15.75" x14ac:dyDescent="0.25">
      <c r="A32"/>
      <c r="B32"/>
      <c r="C32" s="23" t="s">
        <v>3</v>
      </c>
      <c r="D32" s="22"/>
      <c r="E32" s="21"/>
      <c r="F32" s="21"/>
      <c r="G32" s="24" t="s">
        <v>2</v>
      </c>
      <c r="H32" s="22"/>
      <c r="I32" s="22"/>
      <c r="J32" s="22"/>
      <c r="K32" s="20"/>
      <c r="L32" s="20"/>
      <c r="M32" s="20"/>
      <c r="N32" s="19"/>
      <c r="O32"/>
    </row>
    <row r="33" spans="1:15" s="1" customFormat="1" ht="15.75" x14ac:dyDescent="0.25">
      <c r="A33"/>
      <c r="B33"/>
      <c r="C33" s="23" t="s">
        <v>1</v>
      </c>
      <c r="D33" s="22"/>
      <c r="E33" s="21"/>
      <c r="F33" s="21"/>
      <c r="G33" s="21"/>
      <c r="H33" s="20"/>
      <c r="I33" s="20"/>
      <c r="J33" s="20"/>
      <c r="K33" s="20"/>
      <c r="L33" s="20"/>
      <c r="M33" s="20"/>
      <c r="N33" s="19"/>
      <c r="O33"/>
    </row>
    <row r="34" spans="1:15" s="1" customFormat="1" ht="18" x14ac:dyDescent="0.25">
      <c r="A34"/>
      <c r="B34"/>
      <c r="C34" s="18"/>
      <c r="D34" s="17"/>
      <c r="E34" s="16"/>
      <c r="F34" s="16"/>
      <c r="G34" s="16"/>
      <c r="H34" s="15"/>
      <c r="I34" s="15"/>
      <c r="J34" s="15"/>
      <c r="K34" s="15"/>
      <c r="L34" s="15"/>
      <c r="M34" s="15"/>
      <c r="N34" s="14"/>
      <c r="O34"/>
    </row>
    <row r="35" spans="1:15" s="1" customFormat="1" x14ac:dyDescent="0.2">
      <c r="A35"/>
      <c r="B35"/>
      <c r="C35" s="13"/>
      <c r="D35" s="12"/>
      <c r="E35" s="12"/>
      <c r="F35" s="12"/>
      <c r="G35" s="12"/>
      <c r="H35" s="11"/>
      <c r="I35" s="10"/>
      <c r="J35" s="10"/>
      <c r="K35" s="10"/>
      <c r="L35" s="10"/>
      <c r="M35" s="10"/>
      <c r="N35" s="9"/>
      <c r="O35"/>
    </row>
    <row r="36" spans="1:15" s="1" customFormat="1" ht="18.75" thickBot="1" x14ac:dyDescent="0.3">
      <c r="A36"/>
      <c r="B36"/>
      <c r="C36" s="8" t="s">
        <v>0</v>
      </c>
      <c r="D36" s="7"/>
      <c r="E36" s="6"/>
      <c r="F36" s="6"/>
      <c r="G36" s="6"/>
      <c r="H36" s="7"/>
      <c r="I36" s="7"/>
      <c r="J36" s="7"/>
      <c r="K36" s="7"/>
      <c r="L36" s="6"/>
      <c r="M36" s="5"/>
      <c r="N36" s="4"/>
      <c r="O36"/>
    </row>
    <row r="37" spans="1:15" s="1" customFormat="1" x14ac:dyDescent="0.2">
      <c r="A37"/>
      <c r="B37"/>
      <c r="C37"/>
      <c r="D37" s="3"/>
      <c r="E37"/>
      <c r="F37"/>
      <c r="G37"/>
      <c r="H37" s="3"/>
      <c r="I37" s="3"/>
      <c r="J37" s="3"/>
      <c r="K37" s="3"/>
      <c r="L37"/>
      <c r="M37"/>
      <c r="N37" s="2"/>
      <c r="O37"/>
    </row>
    <row r="38" spans="1:15" s="1" customFormat="1" x14ac:dyDescent="0.2">
      <c r="A38"/>
      <c r="B38"/>
      <c r="C38"/>
      <c r="D38" s="3"/>
      <c r="E38"/>
      <c r="F38"/>
      <c r="G38"/>
      <c r="H38" s="3"/>
      <c r="I38" s="3"/>
      <c r="J38" s="3"/>
      <c r="K38" s="3"/>
      <c r="L38"/>
      <c r="M38"/>
      <c r="N38" s="2"/>
      <c r="O38"/>
    </row>
    <row r="39" spans="1:15" s="1" customFormat="1" x14ac:dyDescent="0.2">
      <c r="A39"/>
      <c r="B39"/>
      <c r="C39"/>
      <c r="D39" s="3"/>
      <c r="E39"/>
      <c r="F39"/>
      <c r="G39"/>
      <c r="H39" s="3"/>
      <c r="I39" s="3"/>
      <c r="J39" s="3"/>
      <c r="K39" s="3"/>
      <c r="L39"/>
      <c r="M39"/>
      <c r="N39" s="2"/>
      <c r="O39"/>
    </row>
    <row r="40" spans="1:15" s="1" customFormat="1" x14ac:dyDescent="0.2">
      <c r="A40"/>
      <c r="B40"/>
      <c r="C40"/>
      <c r="D40" s="3"/>
      <c r="E40"/>
      <c r="F40"/>
      <c r="G40"/>
      <c r="H40" s="3"/>
      <c r="I40" s="3"/>
      <c r="J40" s="3"/>
      <c r="K40" s="3"/>
      <c r="L40"/>
      <c r="M40"/>
      <c r="N40" s="2"/>
      <c r="O40"/>
    </row>
    <row r="41" spans="1:15" s="1" customFormat="1" x14ac:dyDescent="0.2">
      <c r="A41"/>
      <c r="B41"/>
      <c r="C41"/>
      <c r="D41" s="3"/>
      <c r="E41"/>
      <c r="F41"/>
      <c r="G41"/>
      <c r="H41" s="3"/>
      <c r="I41" s="3"/>
      <c r="J41" s="3"/>
      <c r="K41" s="3"/>
      <c r="L41"/>
      <c r="M41"/>
      <c r="N41" s="2"/>
      <c r="O41"/>
    </row>
    <row r="42" spans="1:15" s="1" customFormat="1" x14ac:dyDescent="0.2">
      <c r="A42"/>
      <c r="B42"/>
      <c r="C42"/>
      <c r="D42" s="3"/>
      <c r="E42"/>
      <c r="F42"/>
      <c r="G42"/>
      <c r="H42" s="3"/>
      <c r="I42" s="3"/>
      <c r="J42" s="3"/>
      <c r="K42" s="3"/>
      <c r="L42"/>
      <c r="M42"/>
      <c r="N42" s="2"/>
      <c r="O42"/>
    </row>
    <row r="43" spans="1:15" s="1" customFormat="1" x14ac:dyDescent="0.2">
      <c r="A43"/>
      <c r="B43"/>
      <c r="C43"/>
      <c r="D43" s="3"/>
      <c r="E43"/>
      <c r="F43"/>
      <c r="G43"/>
      <c r="H43" s="3"/>
      <c r="I43" s="3"/>
      <c r="J43" s="3"/>
      <c r="K43" s="3"/>
      <c r="L43"/>
      <c r="M43"/>
      <c r="N43" s="2"/>
      <c r="O43"/>
    </row>
    <row r="44" spans="1:15" s="1" customFormat="1" x14ac:dyDescent="0.2">
      <c r="A44"/>
      <c r="B44"/>
      <c r="C44"/>
      <c r="D44" s="3"/>
      <c r="E44"/>
      <c r="F44"/>
      <c r="G44"/>
      <c r="H44" s="3"/>
      <c r="I44" s="3"/>
      <c r="J44" s="3"/>
      <c r="K44" s="3"/>
      <c r="L44"/>
      <c r="M44"/>
      <c r="N44" s="2"/>
      <c r="O44"/>
    </row>
    <row r="45" spans="1:15" s="1" customFormat="1" x14ac:dyDescent="0.2">
      <c r="A45"/>
      <c r="B45"/>
      <c r="C45"/>
      <c r="D45" s="3"/>
      <c r="E45"/>
      <c r="F45"/>
      <c r="G45"/>
      <c r="H45" s="3"/>
      <c r="I45" s="3"/>
      <c r="J45" s="3"/>
      <c r="K45" s="3"/>
      <c r="L45"/>
      <c r="M45"/>
      <c r="N45" s="2"/>
      <c r="O45"/>
    </row>
    <row r="46" spans="1:15" s="1" customFormat="1" x14ac:dyDescent="0.2">
      <c r="A46"/>
      <c r="B46"/>
      <c r="C46"/>
      <c r="D46" s="3"/>
      <c r="E46"/>
      <c r="F46"/>
      <c r="G46"/>
      <c r="H46" s="3"/>
      <c r="I46" s="3"/>
      <c r="J46" s="3"/>
      <c r="K46" s="3"/>
      <c r="L46"/>
      <c r="M46"/>
      <c r="N46" s="2"/>
      <c r="O46"/>
    </row>
    <row r="47" spans="1:15" s="1" customFormat="1" x14ac:dyDescent="0.2">
      <c r="A47"/>
      <c r="B47"/>
      <c r="C47"/>
      <c r="D47" s="3"/>
      <c r="E47"/>
      <c r="F47"/>
      <c r="G47"/>
      <c r="H47" s="3"/>
      <c r="I47" s="3"/>
      <c r="J47" s="3"/>
      <c r="K47" s="3"/>
      <c r="L47"/>
      <c r="M47"/>
      <c r="N47" s="2"/>
      <c r="O47"/>
    </row>
    <row r="48" spans="1:15" s="1" customFormat="1" x14ac:dyDescent="0.2">
      <c r="A48"/>
      <c r="B48"/>
      <c r="C48"/>
      <c r="D48" s="3"/>
      <c r="E48"/>
      <c r="F48"/>
      <c r="G48"/>
      <c r="H48" s="3"/>
      <c r="I48" s="3"/>
      <c r="J48" s="3"/>
      <c r="K48" s="3"/>
      <c r="L48"/>
      <c r="M48"/>
      <c r="N48" s="2"/>
      <c r="O48"/>
    </row>
    <row r="49" spans="3:11" x14ac:dyDescent="0.2">
      <c r="C49"/>
      <c r="D49" s="3"/>
      <c r="E49"/>
      <c r="F49"/>
      <c r="G49"/>
      <c r="I49" s="3"/>
      <c r="J49" s="3"/>
      <c r="K49" s="3"/>
    </row>
    <row r="50" spans="3:11" x14ac:dyDescent="0.2">
      <c r="C50"/>
      <c r="D50" s="3"/>
      <c r="E50"/>
      <c r="F50"/>
      <c r="G50"/>
      <c r="I50" s="3"/>
      <c r="J50" s="3"/>
      <c r="K50" s="3"/>
    </row>
    <row r="51" spans="3:11" x14ac:dyDescent="0.2">
      <c r="C51"/>
      <c r="D51" s="3"/>
      <c r="E51"/>
      <c r="F51"/>
      <c r="G51"/>
      <c r="I51" s="3"/>
      <c r="J51" s="3"/>
      <c r="K51" s="3"/>
    </row>
    <row r="52" spans="3:11" x14ac:dyDescent="0.2">
      <c r="C52"/>
      <c r="D52" s="3"/>
      <c r="E52"/>
      <c r="F52"/>
      <c r="G52"/>
      <c r="I52" s="3"/>
      <c r="J52" s="3"/>
      <c r="K52" s="3"/>
    </row>
    <row r="53" spans="3:11" x14ac:dyDescent="0.2">
      <c r="C53"/>
      <c r="D53" s="3"/>
      <c r="E53"/>
      <c r="F53"/>
      <c r="G53"/>
      <c r="I53" s="3"/>
      <c r="J53" s="3"/>
      <c r="K53" s="3"/>
    </row>
    <row r="54" spans="3:11" x14ac:dyDescent="0.2">
      <c r="C54"/>
      <c r="D54" s="3"/>
      <c r="E54"/>
      <c r="F54"/>
      <c r="G54"/>
      <c r="I54" s="3"/>
      <c r="J54" s="3"/>
      <c r="K54" s="3"/>
    </row>
    <row r="55" spans="3:11" x14ac:dyDescent="0.2">
      <c r="C55"/>
      <c r="D55" s="3"/>
      <c r="E55"/>
      <c r="F55"/>
      <c r="G55"/>
      <c r="I55" s="3"/>
      <c r="J55" s="3"/>
      <c r="K55" s="3"/>
    </row>
    <row r="56" spans="3:11" x14ac:dyDescent="0.2">
      <c r="C56"/>
      <c r="D56" s="3"/>
      <c r="E56"/>
      <c r="F56"/>
      <c r="G56"/>
      <c r="I56" s="3"/>
      <c r="J56" s="3"/>
      <c r="K56" s="3"/>
    </row>
    <row r="57" spans="3:11" x14ac:dyDescent="0.2">
      <c r="C57"/>
      <c r="D57" s="3"/>
      <c r="E57"/>
      <c r="F57"/>
      <c r="G57"/>
      <c r="I57" s="3"/>
      <c r="J57" s="3"/>
      <c r="K57" s="3"/>
    </row>
  </sheetData>
  <mergeCells count="2">
    <mergeCell ref="C13:N13"/>
    <mergeCell ref="C29:N29"/>
  </mergeCells>
  <hyperlinks>
    <hyperlink ref="L8" r:id="rId1" xr:uid="{73830D1C-1F32-4DCD-96E3-DB8645871C05}"/>
  </hyperlinks>
  <pageMargins left="0.25" right="0.25" top="0.79" bottom="0.33" header="0.17" footer="0.2"/>
  <pageSetup scale="65" fitToHeight="0" orientation="portrait" r:id="rId2"/>
  <headerFooter alignWithMargins="0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C5F00-1D04-4A32-9A9F-58ED6F383C09}">
  <sheetPr>
    <tabColor rgb="FFFFFF00"/>
    <pageSetUpPr fitToPage="1"/>
  </sheetPr>
  <dimension ref="A1:W58"/>
  <sheetViews>
    <sheetView topLeftCell="B1" zoomScale="75" workbookViewId="0">
      <selection activeCell="K15" sqref="K15"/>
    </sheetView>
  </sheetViews>
  <sheetFormatPr defaultRowHeight="15" x14ac:dyDescent="0.2"/>
  <cols>
    <col min="1" max="1" width="2.140625" hidden="1" customWidth="1"/>
    <col min="2" max="2" width="3" customWidth="1"/>
    <col min="3" max="3" width="20.5703125" style="3" customWidth="1"/>
    <col min="4" max="4" width="21.28515625" customWidth="1"/>
    <col min="5" max="7" width="11.28515625" style="3" customWidth="1"/>
    <col min="8" max="8" width="10.28515625" style="3" customWidth="1"/>
    <col min="9" max="9" width="9.42578125" customWidth="1"/>
    <col min="10" max="10" width="10.42578125" bestFit="1" customWidth="1"/>
    <col min="11" max="11" width="9.42578125" customWidth="1"/>
    <col min="12" max="12" width="13.7109375" customWidth="1"/>
    <col min="13" max="13" width="10" customWidth="1"/>
    <col min="14" max="14" width="15.42578125" style="2" customWidth="1"/>
    <col min="15" max="15" width="10" customWidth="1"/>
    <col min="16" max="23" width="9.140625" style="1"/>
  </cols>
  <sheetData>
    <row r="1" spans="1:23" x14ac:dyDescent="0.2">
      <c r="C1" s="135"/>
      <c r="D1" s="133"/>
      <c r="E1" s="134"/>
      <c r="F1" s="134"/>
      <c r="G1" s="134"/>
      <c r="H1" s="134"/>
      <c r="I1" s="133"/>
      <c r="J1" s="133"/>
      <c r="K1" s="133"/>
      <c r="L1" s="133"/>
      <c r="M1" s="133"/>
      <c r="N1" s="132"/>
    </row>
    <row r="2" spans="1:23" ht="38.25" customHeight="1" x14ac:dyDescent="0.25">
      <c r="C2" s="127"/>
      <c r="H2" s="131" t="s">
        <v>59</v>
      </c>
      <c r="M2" s="130" t="s">
        <v>58</v>
      </c>
      <c r="N2" s="129">
        <v>1025</v>
      </c>
      <c r="O2" s="128"/>
    </row>
    <row r="3" spans="1:23" ht="9.75" customHeight="1" x14ac:dyDescent="0.2">
      <c r="C3" s="127"/>
      <c r="N3" s="126"/>
    </row>
    <row r="4" spans="1:23" ht="15.75" x14ac:dyDescent="0.25">
      <c r="C4" s="125" t="s">
        <v>57</v>
      </c>
      <c r="D4" s="123"/>
      <c r="E4" s="124"/>
      <c r="F4" s="124"/>
      <c r="G4" s="124"/>
      <c r="H4" s="123"/>
      <c r="I4" s="123"/>
      <c r="J4" s="122"/>
      <c r="K4" s="122" t="s">
        <v>56</v>
      </c>
      <c r="L4" s="122"/>
      <c r="M4" s="122"/>
      <c r="N4" s="121"/>
      <c r="O4" s="91"/>
    </row>
    <row r="5" spans="1:23" ht="15.75" x14ac:dyDescent="0.25">
      <c r="C5" s="103" t="s">
        <v>54</v>
      </c>
      <c r="D5" s="37" t="s">
        <v>55</v>
      </c>
      <c r="E5" s="37"/>
      <c r="F5" s="37"/>
      <c r="G5" s="37"/>
      <c r="H5" s="112"/>
      <c r="I5" s="37"/>
      <c r="J5" s="111"/>
      <c r="K5" s="120" t="s">
        <v>54</v>
      </c>
      <c r="L5" s="111" t="s">
        <v>53</v>
      </c>
      <c r="M5" s="37"/>
      <c r="N5" s="99"/>
    </row>
    <row r="6" spans="1:23" ht="15.75" x14ac:dyDescent="0.25">
      <c r="C6" s="119"/>
      <c r="D6" s="37" t="s">
        <v>52</v>
      </c>
      <c r="E6" s="37"/>
      <c r="F6" s="37"/>
      <c r="G6" s="37"/>
      <c r="H6" s="112"/>
      <c r="I6" s="37"/>
      <c r="J6" s="111"/>
      <c r="K6" s="110" t="s">
        <v>51</v>
      </c>
      <c r="L6" s="37" t="s">
        <v>50</v>
      </c>
      <c r="M6" s="37"/>
      <c r="N6" s="115"/>
      <c r="R6" s="118"/>
    </row>
    <row r="7" spans="1:23" ht="15.75" x14ac:dyDescent="0.25">
      <c r="C7" s="117"/>
      <c r="D7" s="37" t="s">
        <v>49</v>
      </c>
      <c r="E7" s="37"/>
      <c r="F7" s="37"/>
      <c r="G7" s="37"/>
      <c r="H7" s="112"/>
      <c r="I7" s="37"/>
      <c r="J7" s="111"/>
      <c r="K7" s="110" t="s">
        <v>48</v>
      </c>
      <c r="L7" s="37" t="s">
        <v>47</v>
      </c>
      <c r="M7" s="116" t="s">
        <v>46</v>
      </c>
      <c r="N7" s="115">
        <v>95688</v>
      </c>
      <c r="O7" s="114"/>
    </row>
    <row r="8" spans="1:23" ht="15.75" x14ac:dyDescent="0.25">
      <c r="C8" s="113" t="s">
        <v>45</v>
      </c>
      <c r="D8" s="37" t="s">
        <v>44</v>
      </c>
      <c r="E8" s="37"/>
      <c r="F8" s="37"/>
      <c r="G8" s="37"/>
      <c r="H8" s="112"/>
      <c r="I8" s="37"/>
      <c r="J8" s="111"/>
      <c r="K8" s="110" t="s">
        <v>43</v>
      </c>
      <c r="L8" s="109" t="s">
        <v>42</v>
      </c>
      <c r="M8" s="37"/>
      <c r="N8" s="108"/>
      <c r="O8" s="93"/>
    </row>
    <row r="9" spans="1:23" ht="15.75" x14ac:dyDescent="0.25">
      <c r="C9" s="107" t="s">
        <v>41</v>
      </c>
      <c r="D9" s="37"/>
      <c r="E9" s="16"/>
      <c r="F9" s="16"/>
      <c r="G9" s="16"/>
      <c r="H9" s="65"/>
      <c r="I9" s="37"/>
      <c r="J9" s="64"/>
      <c r="K9" s="106" t="s">
        <v>40</v>
      </c>
      <c r="L9" s="105" t="s">
        <v>39</v>
      </c>
      <c r="M9" s="64" t="s">
        <v>38</v>
      </c>
      <c r="N9" s="104"/>
    </row>
    <row r="10" spans="1:23" ht="16.5" customHeight="1" x14ac:dyDescent="0.25">
      <c r="A10" s="91"/>
      <c r="C10" s="103"/>
      <c r="D10" s="102" t="s">
        <v>37</v>
      </c>
      <c r="E10" s="100"/>
      <c r="F10" s="100"/>
      <c r="G10" s="100"/>
      <c r="H10" s="101"/>
      <c r="I10" s="100"/>
      <c r="J10" s="100"/>
      <c r="K10" s="100"/>
      <c r="L10" s="100"/>
      <c r="M10" s="100"/>
      <c r="N10" s="99"/>
    </row>
    <row r="11" spans="1:23" s="91" customFormat="1" ht="15.75" x14ac:dyDescent="0.25">
      <c r="A11"/>
      <c r="C11" s="98" t="s">
        <v>36</v>
      </c>
      <c r="D11" s="96"/>
      <c r="E11" s="96" t="s">
        <v>35</v>
      </c>
      <c r="F11" s="96"/>
      <c r="G11" s="96"/>
      <c r="H11" s="97"/>
      <c r="I11" s="95"/>
      <c r="J11" s="96"/>
      <c r="K11" s="96"/>
      <c r="L11" s="96" t="s">
        <v>34</v>
      </c>
      <c r="M11" s="95"/>
      <c r="N11" s="94" t="s">
        <v>33</v>
      </c>
      <c r="O11" s="93"/>
      <c r="P11" s="92"/>
      <c r="Q11" s="92"/>
      <c r="R11" s="92"/>
      <c r="S11" s="92"/>
      <c r="T11" s="92"/>
      <c r="U11" s="92"/>
      <c r="V11" s="92"/>
      <c r="W11" s="92"/>
    </row>
    <row r="12" spans="1:23" ht="20.25" customHeight="1" x14ac:dyDescent="0.25">
      <c r="B12" s="27"/>
      <c r="C12" s="90">
        <f ca="1">TODAY()</f>
        <v>45735</v>
      </c>
      <c r="D12" s="89"/>
      <c r="E12" s="86">
        <f ca="1">+C12+21</f>
        <v>45756</v>
      </c>
      <c r="F12" s="86"/>
      <c r="G12" s="86"/>
      <c r="H12" s="88"/>
      <c r="I12" s="87"/>
      <c r="J12" s="86"/>
      <c r="K12" s="85"/>
      <c r="L12" s="17" t="s">
        <v>32</v>
      </c>
      <c r="M12" s="84"/>
      <c r="N12" s="83">
        <f ca="1">+E12</f>
        <v>45756</v>
      </c>
    </row>
    <row r="13" spans="1:23" ht="44.25" customHeight="1" x14ac:dyDescent="0.3">
      <c r="B13" s="27"/>
      <c r="C13" s="141" t="s">
        <v>31</v>
      </c>
      <c r="D13" s="142"/>
      <c r="E13" s="142"/>
      <c r="F13" s="142"/>
      <c r="G13" s="142"/>
      <c r="H13" s="142"/>
      <c r="I13" s="142"/>
      <c r="J13" s="142"/>
      <c r="K13" s="142"/>
      <c r="L13" s="142"/>
      <c r="M13" s="142"/>
      <c r="N13" s="143"/>
    </row>
    <row r="14" spans="1:23" ht="18.75" thickBot="1" x14ac:dyDescent="0.3">
      <c r="B14" s="27"/>
      <c r="C14" s="82"/>
      <c r="D14" s="81"/>
      <c r="E14" s="81"/>
      <c r="F14" s="81"/>
      <c r="G14" s="81"/>
      <c r="H14" s="80"/>
      <c r="I14" s="79"/>
      <c r="J14" s="79"/>
      <c r="K14" s="79"/>
      <c r="L14" s="80"/>
      <c r="M14" s="79"/>
      <c r="N14" s="78"/>
    </row>
    <row r="15" spans="1:23" ht="15.75" x14ac:dyDescent="0.25">
      <c r="B15" s="77"/>
      <c r="C15" s="76" t="s">
        <v>30</v>
      </c>
      <c r="D15" s="75">
        <v>2522</v>
      </c>
      <c r="E15" s="74"/>
      <c r="F15" s="74"/>
      <c r="G15" s="74"/>
      <c r="H15" s="73"/>
      <c r="I15" s="72"/>
      <c r="J15" s="71" t="s">
        <v>28</v>
      </c>
      <c r="K15" s="140">
        <v>122958</v>
      </c>
      <c r="L15" s="70"/>
      <c r="M15" s="70"/>
      <c r="N15" s="69" t="s">
        <v>9</v>
      </c>
    </row>
    <row r="16" spans="1:23" ht="15.75" x14ac:dyDescent="0.25">
      <c r="B16" s="68"/>
      <c r="C16" s="67" t="s">
        <v>27</v>
      </c>
      <c r="D16" s="16" t="s">
        <v>92</v>
      </c>
      <c r="E16" s="16"/>
      <c r="F16" s="137"/>
      <c r="G16" s="137"/>
      <c r="H16" s="137"/>
      <c r="I16" s="137"/>
      <c r="J16" s="137"/>
      <c r="K16" s="65"/>
      <c r="L16" s="64"/>
      <c r="M16" s="63"/>
      <c r="N16" s="62">
        <f>SUM(N19:N26)</f>
        <v>1272</v>
      </c>
    </row>
    <row r="17" spans="1:21" s="1" customFormat="1" ht="15.75" x14ac:dyDescent="0.25">
      <c r="A17"/>
      <c r="B17" s="68"/>
      <c r="C17" s="67"/>
      <c r="D17" s="16"/>
      <c r="E17" s="66"/>
      <c r="F17" s="59"/>
      <c r="G17" s="59"/>
      <c r="H17" s="59"/>
      <c r="I17" s="59"/>
      <c r="J17" s="60"/>
      <c r="K17" s="65"/>
      <c r="L17" s="64"/>
      <c r="M17" s="63"/>
      <c r="N17" s="62"/>
      <c r="O17"/>
    </row>
    <row r="18" spans="1:21" s="1" customFormat="1" ht="15.75" x14ac:dyDescent="0.25">
      <c r="A18"/>
      <c r="B18" s="37"/>
      <c r="C18" s="61" t="s">
        <v>25</v>
      </c>
      <c r="D18" s="60" t="s">
        <v>24</v>
      </c>
      <c r="E18" s="60" t="s">
        <v>23</v>
      </c>
      <c r="F18" s="139" t="s">
        <v>99</v>
      </c>
      <c r="G18" s="139" t="s">
        <v>100</v>
      </c>
      <c r="H18" s="139" t="s">
        <v>101</v>
      </c>
      <c r="I18" s="60" t="s">
        <v>102</v>
      </c>
      <c r="J18" s="60" t="s">
        <v>103</v>
      </c>
      <c r="K18" s="60"/>
      <c r="L18" s="59" t="s">
        <v>22</v>
      </c>
      <c r="M18" s="59" t="s">
        <v>21</v>
      </c>
      <c r="N18" s="58"/>
      <c r="O18" s="57"/>
    </row>
    <row r="19" spans="1:21" s="1" customFormat="1" x14ac:dyDescent="0.2">
      <c r="A19"/>
      <c r="B19" s="37"/>
      <c r="C19" s="54" t="s">
        <v>91</v>
      </c>
      <c r="D19" t="s">
        <v>90</v>
      </c>
      <c r="E19" s="138" t="s">
        <v>89</v>
      </c>
      <c r="F19" s="45">
        <v>12</v>
      </c>
      <c r="G19" s="45">
        <v>20</v>
      </c>
      <c r="H19" s="45">
        <v>21</v>
      </c>
      <c r="I19" s="45"/>
      <c r="J19" s="45"/>
      <c r="K19" s="45"/>
      <c r="L19" s="45">
        <f t="shared" ref="L19:L26" si="0">SUM(F19:K19)</f>
        <v>53</v>
      </c>
      <c r="M19" s="44">
        <v>24</v>
      </c>
      <c r="N19" s="43">
        <f t="shared" ref="N19:N26" si="1">+M19*L19</f>
        <v>1272</v>
      </c>
      <c r="O19" s="56"/>
      <c r="P19" s="55"/>
      <c r="Q19" s="55"/>
      <c r="S19" s="55"/>
      <c r="T19" s="55"/>
      <c r="U19" s="55"/>
    </row>
    <row r="20" spans="1:21" s="1" customFormat="1" x14ac:dyDescent="0.2">
      <c r="A20"/>
      <c r="B20" s="37"/>
      <c r="C20" s="54"/>
      <c r="D20"/>
      <c r="E20" s="3"/>
      <c r="F20" s="45"/>
      <c r="G20" s="45"/>
      <c r="H20" s="45"/>
      <c r="I20" s="45"/>
      <c r="J20" s="45"/>
      <c r="K20" s="45"/>
      <c r="L20" s="45">
        <f t="shared" si="0"/>
        <v>0</v>
      </c>
      <c r="M20" s="44"/>
      <c r="N20" s="43">
        <f t="shared" si="1"/>
        <v>0</v>
      </c>
      <c r="O20" s="56"/>
      <c r="S20" s="55"/>
    </row>
    <row r="21" spans="1:21" s="1" customFormat="1" x14ac:dyDescent="0.2">
      <c r="A21"/>
      <c r="B21" s="37"/>
      <c r="C21" s="54"/>
      <c r="D21"/>
      <c r="E21" s="3"/>
      <c r="F21" s="45"/>
      <c r="G21" s="45"/>
      <c r="H21" s="45"/>
      <c r="I21" s="45"/>
      <c r="J21" s="45"/>
      <c r="K21" s="45"/>
      <c r="L21" s="45">
        <f t="shared" si="0"/>
        <v>0</v>
      </c>
      <c r="M21" s="44"/>
      <c r="N21" s="43">
        <f t="shared" si="1"/>
        <v>0</v>
      </c>
      <c r="O21" s="42"/>
    </row>
    <row r="22" spans="1:21" s="1" customFormat="1" ht="15.75" x14ac:dyDescent="0.25">
      <c r="A22"/>
      <c r="B22" s="37"/>
      <c r="C22" s="50" t="s">
        <v>14</v>
      </c>
      <c r="D22" s="53"/>
      <c r="E22" s="52"/>
      <c r="F22" s="51"/>
      <c r="G22" s="51"/>
      <c r="H22" s="51"/>
      <c r="I22" s="51"/>
      <c r="J22" s="45"/>
      <c r="K22" s="45"/>
      <c r="L22" s="45">
        <f t="shared" si="0"/>
        <v>0</v>
      </c>
      <c r="M22" s="44"/>
      <c r="N22" s="43">
        <f t="shared" si="1"/>
        <v>0</v>
      </c>
      <c r="O22" s="42"/>
    </row>
    <row r="23" spans="1:21" s="1" customFormat="1" x14ac:dyDescent="0.2">
      <c r="A23"/>
      <c r="B23" s="37"/>
      <c r="C23" s="50" t="s">
        <v>13</v>
      </c>
      <c r="D23" s="49"/>
      <c r="E23" s="48"/>
      <c r="F23" s="47"/>
      <c r="G23" s="47"/>
      <c r="H23" s="47"/>
      <c r="I23" s="47"/>
      <c r="J23" s="45"/>
      <c r="K23" s="45"/>
      <c r="L23" s="45">
        <f t="shared" si="0"/>
        <v>0</v>
      </c>
      <c r="M23" s="44"/>
      <c r="N23" s="43">
        <f t="shared" si="1"/>
        <v>0</v>
      </c>
      <c r="O23" s="42"/>
    </row>
    <row r="24" spans="1:21" s="1" customFormat="1" x14ac:dyDescent="0.2">
      <c r="A24"/>
      <c r="B24" s="37"/>
      <c r="C24" s="54"/>
      <c r="D24"/>
      <c r="E24" s="3"/>
      <c r="F24" s="45"/>
      <c r="G24" s="45"/>
      <c r="H24" s="45"/>
      <c r="I24" s="45"/>
      <c r="J24" s="45"/>
      <c r="K24" s="45"/>
      <c r="L24" s="45">
        <f t="shared" si="0"/>
        <v>0</v>
      </c>
      <c r="M24" s="44"/>
      <c r="N24" s="43">
        <f t="shared" si="1"/>
        <v>0</v>
      </c>
      <c r="O24" s="42"/>
    </row>
    <row r="25" spans="1:21" s="1" customFormat="1" x14ac:dyDescent="0.2">
      <c r="A25"/>
      <c r="B25" s="37"/>
      <c r="C25" s="54"/>
      <c r="D25"/>
      <c r="E25" s="3"/>
      <c r="F25" s="45"/>
      <c r="G25" s="45"/>
      <c r="H25" s="45"/>
      <c r="I25" s="45"/>
      <c r="J25" s="45"/>
      <c r="K25" s="45"/>
      <c r="L25" s="45">
        <f t="shared" si="0"/>
        <v>0</v>
      </c>
      <c r="M25" s="44"/>
      <c r="N25" s="43">
        <f t="shared" si="1"/>
        <v>0</v>
      </c>
      <c r="O25" s="42"/>
    </row>
    <row r="26" spans="1:21" s="1" customFormat="1" x14ac:dyDescent="0.2">
      <c r="A26"/>
      <c r="B26" s="37"/>
      <c r="C26" s="46"/>
      <c r="D26" s="45"/>
      <c r="E26" s="45"/>
      <c r="F26" s="45"/>
      <c r="G26" s="45"/>
      <c r="H26" s="45"/>
      <c r="I26" s="45"/>
      <c r="J26" s="45"/>
      <c r="K26" s="45"/>
      <c r="L26" s="45">
        <f t="shared" si="0"/>
        <v>0</v>
      </c>
      <c r="M26" s="44"/>
      <c r="N26" s="43">
        <f t="shared" si="1"/>
        <v>0</v>
      </c>
      <c r="O26" s="42"/>
    </row>
    <row r="27" spans="1:21" s="1" customFormat="1" ht="18.75" thickBot="1" x14ac:dyDescent="0.3">
      <c r="A27"/>
      <c r="B27" s="37"/>
      <c r="C27" s="41" t="s">
        <v>12</v>
      </c>
      <c r="D27" s="40"/>
      <c r="E27" s="40"/>
      <c r="F27" s="40"/>
      <c r="G27" s="40"/>
      <c r="H27" s="40"/>
      <c r="I27" s="40"/>
      <c r="J27" s="40"/>
      <c r="K27" s="40"/>
      <c r="L27" s="40" t="s">
        <v>11</v>
      </c>
      <c r="M27" s="40"/>
      <c r="N27" s="39"/>
      <c r="O27" s="38"/>
    </row>
    <row r="28" spans="1:21" s="1" customFormat="1" ht="16.5" thickBot="1" x14ac:dyDescent="0.3">
      <c r="A28"/>
      <c r="B28" s="37"/>
      <c r="C28" s="36" t="s">
        <v>10</v>
      </c>
      <c r="D28" s="35"/>
      <c r="E28" s="35"/>
      <c r="F28" s="35">
        <f t="shared" ref="F28:L28" si="2">SUM(F19:F26)</f>
        <v>12</v>
      </c>
      <c r="G28" s="35">
        <f t="shared" si="2"/>
        <v>20</v>
      </c>
      <c r="H28" s="35">
        <f t="shared" si="2"/>
        <v>21</v>
      </c>
      <c r="I28" s="35">
        <f t="shared" si="2"/>
        <v>0</v>
      </c>
      <c r="J28" s="35">
        <f t="shared" si="2"/>
        <v>0</v>
      </c>
      <c r="K28" s="35">
        <f t="shared" si="2"/>
        <v>0</v>
      </c>
      <c r="L28" s="35">
        <f t="shared" si="2"/>
        <v>53</v>
      </c>
      <c r="M28" s="34" t="s">
        <v>9</v>
      </c>
      <c r="N28" s="33">
        <f>+N16</f>
        <v>1272</v>
      </c>
      <c r="O28" s="32"/>
    </row>
    <row r="29" spans="1:21" s="1" customFormat="1" x14ac:dyDescent="0.2">
      <c r="A29"/>
      <c r="B29"/>
      <c r="C29" s="31"/>
      <c r="D29" s="30"/>
      <c r="E29" s="29"/>
      <c r="F29" s="29"/>
      <c r="G29" s="29"/>
      <c r="H29" s="30"/>
      <c r="I29" s="30"/>
      <c r="J29" s="30"/>
      <c r="K29" s="30"/>
      <c r="L29" s="29"/>
      <c r="M29" s="29"/>
      <c r="N29" s="28"/>
      <c r="O29"/>
    </row>
    <row r="30" spans="1:21" s="1" customFormat="1" ht="15.75" x14ac:dyDescent="0.25">
      <c r="A30"/>
      <c r="B30" s="27"/>
      <c r="C30" s="144" t="s">
        <v>8</v>
      </c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6"/>
      <c r="O30"/>
    </row>
    <row r="31" spans="1:21" s="1" customFormat="1" ht="15.6" customHeight="1" x14ac:dyDescent="0.25">
      <c r="A31"/>
      <c r="B31"/>
      <c r="C31" s="23" t="s">
        <v>7</v>
      </c>
      <c r="D31" s="22"/>
      <c r="E31" s="26"/>
      <c r="F31" s="26"/>
      <c r="G31" s="24" t="s">
        <v>6</v>
      </c>
      <c r="H31" s="25"/>
      <c r="I31" s="22"/>
      <c r="J31" s="22"/>
      <c r="K31" s="20"/>
      <c r="L31" s="22"/>
      <c r="M31" s="22"/>
      <c r="N31" s="19"/>
      <c r="O31"/>
    </row>
    <row r="32" spans="1:21" s="1" customFormat="1" ht="15.75" x14ac:dyDescent="0.25">
      <c r="A32"/>
      <c r="B32"/>
      <c r="C32" s="23" t="s">
        <v>5</v>
      </c>
      <c r="D32" s="22"/>
      <c r="E32" s="21"/>
      <c r="F32" s="22"/>
      <c r="G32" s="24" t="s">
        <v>4</v>
      </c>
      <c r="H32" s="22"/>
      <c r="I32" s="22"/>
      <c r="J32" s="22"/>
      <c r="K32" s="20"/>
      <c r="L32" s="22"/>
      <c r="M32" s="20"/>
      <c r="N32" s="19"/>
      <c r="O32"/>
    </row>
    <row r="33" spans="1:15" s="1" customFormat="1" ht="15.75" x14ac:dyDescent="0.25">
      <c r="A33"/>
      <c r="B33"/>
      <c r="C33" s="23" t="s">
        <v>3</v>
      </c>
      <c r="D33" s="22"/>
      <c r="E33" s="21"/>
      <c r="F33" s="21"/>
      <c r="G33" s="24" t="s">
        <v>2</v>
      </c>
      <c r="H33" s="22"/>
      <c r="I33" s="22"/>
      <c r="J33" s="22"/>
      <c r="K33" s="20"/>
      <c r="L33" s="20"/>
      <c r="M33" s="20"/>
      <c r="N33" s="19"/>
      <c r="O33"/>
    </row>
    <row r="34" spans="1:15" s="1" customFormat="1" ht="15.75" x14ac:dyDescent="0.25">
      <c r="A34"/>
      <c r="B34"/>
      <c r="C34" s="23" t="s">
        <v>1</v>
      </c>
      <c r="D34" s="22"/>
      <c r="E34" s="21"/>
      <c r="F34" s="21"/>
      <c r="G34" s="21"/>
      <c r="H34" s="20"/>
      <c r="I34" s="20"/>
      <c r="J34" s="20"/>
      <c r="K34" s="20"/>
      <c r="L34" s="20"/>
      <c r="M34" s="20"/>
      <c r="N34" s="19"/>
      <c r="O34"/>
    </row>
    <row r="35" spans="1:15" s="1" customFormat="1" ht="18" x14ac:dyDescent="0.25">
      <c r="A35"/>
      <c r="B35"/>
      <c r="C35" s="18"/>
      <c r="D35" s="17"/>
      <c r="E35" s="16"/>
      <c r="F35" s="16"/>
      <c r="G35" s="16"/>
      <c r="H35" s="15"/>
      <c r="I35" s="15"/>
      <c r="J35" s="15"/>
      <c r="K35" s="15"/>
      <c r="L35" s="15"/>
      <c r="M35" s="15"/>
      <c r="N35" s="14"/>
      <c r="O35"/>
    </row>
    <row r="36" spans="1:15" s="1" customFormat="1" x14ac:dyDescent="0.2">
      <c r="A36"/>
      <c r="B36"/>
      <c r="C36" s="13"/>
      <c r="D36" s="12"/>
      <c r="E36" s="12"/>
      <c r="F36" s="12"/>
      <c r="G36" s="12"/>
      <c r="H36" s="11"/>
      <c r="I36" s="10"/>
      <c r="J36" s="10"/>
      <c r="K36" s="10"/>
      <c r="L36" s="10"/>
      <c r="M36" s="10"/>
      <c r="N36" s="9"/>
      <c r="O36"/>
    </row>
    <row r="37" spans="1:15" s="1" customFormat="1" ht="18.75" thickBot="1" x14ac:dyDescent="0.3">
      <c r="A37"/>
      <c r="B37"/>
      <c r="C37" s="8" t="s">
        <v>0</v>
      </c>
      <c r="D37" s="7"/>
      <c r="E37" s="6"/>
      <c r="F37" s="6"/>
      <c r="G37" s="6"/>
      <c r="H37" s="7"/>
      <c r="I37" s="7"/>
      <c r="J37" s="7"/>
      <c r="K37" s="7"/>
      <c r="L37" s="6"/>
      <c r="M37" s="5"/>
      <c r="N37" s="4"/>
      <c r="O37"/>
    </row>
    <row r="38" spans="1:15" s="1" customFormat="1" x14ac:dyDescent="0.2">
      <c r="A38"/>
      <c r="B38"/>
      <c r="C38"/>
      <c r="D38" s="3"/>
      <c r="E38"/>
      <c r="F38"/>
      <c r="G38"/>
      <c r="H38" s="3"/>
      <c r="I38" s="3"/>
      <c r="J38" s="3"/>
      <c r="K38" s="3"/>
      <c r="L38"/>
      <c r="M38"/>
      <c r="N38" s="2"/>
      <c r="O38"/>
    </row>
    <row r="39" spans="1:15" s="1" customFormat="1" x14ac:dyDescent="0.2">
      <c r="A39"/>
      <c r="B39"/>
      <c r="C39"/>
      <c r="D39" s="3"/>
      <c r="E39"/>
      <c r="F39"/>
      <c r="G39"/>
      <c r="H39" s="3"/>
      <c r="I39" s="3"/>
      <c r="J39" s="3"/>
      <c r="K39" s="3"/>
      <c r="L39"/>
      <c r="M39"/>
      <c r="N39" s="2"/>
      <c r="O39"/>
    </row>
    <row r="40" spans="1:15" s="1" customFormat="1" x14ac:dyDescent="0.2">
      <c r="A40"/>
      <c r="B40"/>
      <c r="C40"/>
      <c r="D40" s="3"/>
      <c r="E40"/>
      <c r="F40"/>
      <c r="G40"/>
      <c r="H40" s="3"/>
      <c r="I40" s="3"/>
      <c r="J40" s="3"/>
      <c r="K40" s="3"/>
      <c r="L40"/>
      <c r="M40"/>
      <c r="N40" s="2"/>
      <c r="O40"/>
    </row>
    <row r="41" spans="1:15" s="1" customFormat="1" x14ac:dyDescent="0.2">
      <c r="A41"/>
      <c r="B41"/>
      <c r="C41"/>
      <c r="D41" s="3"/>
      <c r="E41"/>
      <c r="F41"/>
      <c r="G41"/>
      <c r="H41" s="3"/>
      <c r="I41" s="3"/>
      <c r="J41" s="3"/>
      <c r="K41" s="3"/>
      <c r="L41"/>
      <c r="M41"/>
      <c r="N41" s="2"/>
      <c r="O41"/>
    </row>
    <row r="42" spans="1:15" s="1" customFormat="1" x14ac:dyDescent="0.2">
      <c r="A42"/>
      <c r="B42"/>
      <c r="C42"/>
      <c r="D42" s="3"/>
      <c r="E42"/>
      <c r="F42"/>
      <c r="G42"/>
      <c r="H42" s="3"/>
      <c r="I42" s="3"/>
      <c r="J42" s="3"/>
      <c r="K42" s="3"/>
      <c r="L42"/>
      <c r="M42"/>
      <c r="N42" s="2"/>
      <c r="O42"/>
    </row>
    <row r="43" spans="1:15" s="1" customFormat="1" x14ac:dyDescent="0.2">
      <c r="A43"/>
      <c r="B43"/>
      <c r="C43"/>
      <c r="D43" s="3"/>
      <c r="E43"/>
      <c r="F43"/>
      <c r="G43"/>
      <c r="H43" s="3"/>
      <c r="I43" s="3"/>
      <c r="J43" s="3"/>
      <c r="K43" s="3"/>
      <c r="L43"/>
      <c r="M43"/>
      <c r="N43" s="2"/>
      <c r="O43"/>
    </row>
    <row r="44" spans="1:15" s="1" customFormat="1" x14ac:dyDescent="0.2">
      <c r="A44"/>
      <c r="B44"/>
      <c r="C44"/>
      <c r="D44" s="3"/>
      <c r="E44"/>
      <c r="F44"/>
      <c r="G44"/>
      <c r="H44" s="3"/>
      <c r="I44" s="3"/>
      <c r="J44" s="3"/>
      <c r="K44" s="3"/>
      <c r="L44"/>
      <c r="M44"/>
      <c r="N44" s="2"/>
      <c r="O44"/>
    </row>
    <row r="45" spans="1:15" s="1" customFormat="1" x14ac:dyDescent="0.2">
      <c r="A45"/>
      <c r="B45"/>
      <c r="C45"/>
      <c r="D45" s="3"/>
      <c r="E45"/>
      <c r="F45"/>
      <c r="G45"/>
      <c r="H45" s="3"/>
      <c r="I45" s="3"/>
      <c r="J45" s="3"/>
      <c r="K45" s="3"/>
      <c r="L45"/>
      <c r="M45"/>
      <c r="N45" s="2"/>
      <c r="O45"/>
    </row>
    <row r="46" spans="1:15" s="1" customFormat="1" x14ac:dyDescent="0.2">
      <c r="A46"/>
      <c r="B46"/>
      <c r="C46"/>
      <c r="D46" s="3"/>
      <c r="E46"/>
      <c r="F46"/>
      <c r="G46"/>
      <c r="H46" s="3"/>
      <c r="I46" s="3"/>
      <c r="J46" s="3"/>
      <c r="K46" s="3"/>
      <c r="L46"/>
      <c r="M46"/>
      <c r="N46" s="2"/>
      <c r="O46"/>
    </row>
    <row r="47" spans="1:15" s="1" customFormat="1" x14ac:dyDescent="0.2">
      <c r="A47"/>
      <c r="B47"/>
      <c r="C47"/>
      <c r="D47" s="3"/>
      <c r="E47"/>
      <c r="F47"/>
      <c r="G47"/>
      <c r="H47" s="3"/>
      <c r="I47" s="3"/>
      <c r="J47" s="3"/>
      <c r="K47" s="3"/>
      <c r="L47"/>
      <c r="M47"/>
      <c r="N47" s="2"/>
      <c r="O47"/>
    </row>
    <row r="48" spans="1:15" s="1" customFormat="1" x14ac:dyDescent="0.2">
      <c r="A48"/>
      <c r="B48"/>
      <c r="C48"/>
      <c r="D48" s="3"/>
      <c r="E48"/>
      <c r="F48"/>
      <c r="G48"/>
      <c r="H48" s="3"/>
      <c r="I48" s="3"/>
      <c r="J48" s="3"/>
      <c r="K48" s="3"/>
      <c r="L48"/>
      <c r="M48"/>
      <c r="N48" s="2"/>
      <c r="O48"/>
    </row>
    <row r="49" spans="3:11" x14ac:dyDescent="0.2">
      <c r="C49"/>
      <c r="D49" s="3"/>
      <c r="E49"/>
      <c r="F49"/>
      <c r="G49"/>
      <c r="I49" s="3"/>
      <c r="J49" s="3"/>
      <c r="K49" s="3"/>
    </row>
    <row r="50" spans="3:11" x14ac:dyDescent="0.2">
      <c r="C50"/>
      <c r="D50" s="3"/>
      <c r="E50"/>
      <c r="F50"/>
      <c r="G50"/>
      <c r="I50" s="3"/>
      <c r="J50" s="3"/>
      <c r="K50" s="3"/>
    </row>
    <row r="51" spans="3:11" x14ac:dyDescent="0.2">
      <c r="C51"/>
      <c r="D51" s="3"/>
      <c r="E51"/>
      <c r="F51"/>
      <c r="G51"/>
      <c r="I51" s="3"/>
      <c r="J51" s="3"/>
      <c r="K51" s="3"/>
    </row>
    <row r="52" spans="3:11" x14ac:dyDescent="0.2">
      <c r="C52"/>
      <c r="D52" s="3"/>
      <c r="E52"/>
      <c r="F52"/>
      <c r="G52"/>
      <c r="I52" s="3"/>
      <c r="J52" s="3"/>
      <c r="K52" s="3"/>
    </row>
    <row r="53" spans="3:11" x14ac:dyDescent="0.2">
      <c r="C53"/>
      <c r="D53" s="3"/>
      <c r="E53"/>
      <c r="F53"/>
      <c r="G53"/>
      <c r="I53" s="3"/>
      <c r="J53" s="3"/>
      <c r="K53" s="3"/>
    </row>
    <row r="54" spans="3:11" x14ac:dyDescent="0.2">
      <c r="C54"/>
      <c r="D54" s="3"/>
      <c r="E54"/>
      <c r="F54"/>
      <c r="G54"/>
      <c r="I54" s="3"/>
      <c r="J54" s="3"/>
      <c r="K54" s="3"/>
    </row>
    <row r="55" spans="3:11" x14ac:dyDescent="0.2">
      <c r="C55"/>
      <c r="D55" s="3"/>
      <c r="E55"/>
      <c r="F55"/>
      <c r="G55"/>
      <c r="I55" s="3"/>
      <c r="J55" s="3"/>
      <c r="K55" s="3"/>
    </row>
    <row r="56" spans="3:11" x14ac:dyDescent="0.2">
      <c r="C56"/>
      <c r="D56" s="3"/>
      <c r="E56"/>
      <c r="F56"/>
      <c r="G56"/>
      <c r="I56" s="3"/>
      <c r="J56" s="3"/>
      <c r="K56" s="3"/>
    </row>
    <row r="57" spans="3:11" x14ac:dyDescent="0.2">
      <c r="C57"/>
      <c r="D57" s="3"/>
      <c r="E57"/>
      <c r="F57"/>
      <c r="G57"/>
      <c r="I57" s="3"/>
      <c r="J57" s="3"/>
      <c r="K57" s="3"/>
    </row>
    <row r="58" spans="3:11" x14ac:dyDescent="0.2">
      <c r="C58"/>
      <c r="D58" s="3"/>
      <c r="E58"/>
      <c r="F58"/>
      <c r="G58"/>
      <c r="I58" s="3"/>
      <c r="J58" s="3"/>
      <c r="K58" s="3"/>
    </row>
  </sheetData>
  <mergeCells count="2">
    <mergeCell ref="C13:N13"/>
    <mergeCell ref="C30:N30"/>
  </mergeCells>
  <hyperlinks>
    <hyperlink ref="L8" r:id="rId1" xr:uid="{EADBFB36-CC03-4F7A-961C-C7EEB5F701BD}"/>
  </hyperlinks>
  <pageMargins left="0.25" right="0.25" top="0.79" bottom="0.33" header="0.17" footer="0.2"/>
  <pageSetup scale="65" fitToHeight="0" orientation="portrait" r:id="rId2"/>
  <headerFooter alignWithMargins="0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48B22-82FD-49A9-8BDE-F1D2E01D84F8}">
  <sheetPr>
    <tabColor rgb="FFFFFF00"/>
    <pageSetUpPr fitToPage="1"/>
  </sheetPr>
  <dimension ref="A1:W58"/>
  <sheetViews>
    <sheetView topLeftCell="B1" zoomScale="75" workbookViewId="0">
      <selection activeCell="K15" sqref="K15"/>
    </sheetView>
  </sheetViews>
  <sheetFormatPr defaultRowHeight="15" x14ac:dyDescent="0.2"/>
  <cols>
    <col min="1" max="1" width="2.140625" hidden="1" customWidth="1"/>
    <col min="2" max="2" width="3" customWidth="1"/>
    <col min="3" max="3" width="20.5703125" style="3" customWidth="1"/>
    <col min="4" max="4" width="15.28515625" customWidth="1"/>
    <col min="5" max="7" width="11.28515625" style="3" customWidth="1"/>
    <col min="8" max="8" width="10.28515625" style="3" customWidth="1"/>
    <col min="9" max="9" width="9.42578125" customWidth="1"/>
    <col min="10" max="10" width="10.42578125" bestFit="1" customWidth="1"/>
    <col min="11" max="11" width="9.42578125" customWidth="1"/>
    <col min="12" max="12" width="13.7109375" customWidth="1"/>
    <col min="13" max="13" width="10" customWidth="1"/>
    <col min="14" max="14" width="15.42578125" style="2" customWidth="1"/>
    <col min="15" max="15" width="10" customWidth="1"/>
    <col min="16" max="23" width="9.140625" style="1"/>
  </cols>
  <sheetData>
    <row r="1" spans="1:23" x14ac:dyDescent="0.2">
      <c r="C1" s="135"/>
      <c r="D1" s="133"/>
      <c r="E1" s="134"/>
      <c r="F1" s="134"/>
      <c r="G1" s="134"/>
      <c r="H1" s="134"/>
      <c r="I1" s="133"/>
      <c r="J1" s="133"/>
      <c r="K1" s="133"/>
      <c r="L1" s="133"/>
      <c r="M1" s="133"/>
      <c r="N1" s="132"/>
    </row>
    <row r="2" spans="1:23" ht="38.25" customHeight="1" x14ac:dyDescent="0.25">
      <c r="C2" s="127"/>
      <c r="H2" s="131" t="s">
        <v>59</v>
      </c>
      <c r="M2" s="130" t="s">
        <v>58</v>
      </c>
      <c r="N2" s="129">
        <v>1026</v>
      </c>
      <c r="O2" s="128"/>
    </row>
    <row r="3" spans="1:23" ht="9.75" customHeight="1" x14ac:dyDescent="0.2">
      <c r="C3" s="127"/>
      <c r="N3" s="126"/>
    </row>
    <row r="4" spans="1:23" ht="15.75" x14ac:dyDescent="0.25">
      <c r="C4" s="125" t="s">
        <v>57</v>
      </c>
      <c r="D4" s="123"/>
      <c r="E4" s="124"/>
      <c r="F4" s="124"/>
      <c r="G4" s="124"/>
      <c r="H4" s="123"/>
      <c r="I4" s="123"/>
      <c r="J4" s="122"/>
      <c r="K4" s="122" t="s">
        <v>56</v>
      </c>
      <c r="L4" s="122"/>
      <c r="M4" s="122"/>
      <c r="N4" s="121"/>
      <c r="O4" s="91"/>
    </row>
    <row r="5" spans="1:23" ht="15.75" x14ac:dyDescent="0.25">
      <c r="C5" s="103" t="s">
        <v>54</v>
      </c>
      <c r="D5" s="37" t="s">
        <v>55</v>
      </c>
      <c r="E5" s="37"/>
      <c r="F5" s="37"/>
      <c r="G5" s="37"/>
      <c r="H5" s="112"/>
      <c r="I5" s="37"/>
      <c r="J5" s="111"/>
      <c r="K5" s="120" t="s">
        <v>54</v>
      </c>
      <c r="L5" s="111" t="s">
        <v>53</v>
      </c>
      <c r="M5" s="37"/>
      <c r="N5" s="99"/>
    </row>
    <row r="6" spans="1:23" ht="15.75" x14ac:dyDescent="0.25">
      <c r="C6" s="119"/>
      <c r="D6" s="37" t="s">
        <v>52</v>
      </c>
      <c r="E6" s="37"/>
      <c r="F6" s="37"/>
      <c r="G6" s="37"/>
      <c r="H6" s="112"/>
      <c r="I6" s="37"/>
      <c r="J6" s="111"/>
      <c r="K6" s="110" t="s">
        <v>51</v>
      </c>
      <c r="L6" s="37" t="s">
        <v>50</v>
      </c>
      <c r="M6" s="37"/>
      <c r="N6" s="115"/>
      <c r="R6" s="118"/>
    </row>
    <row r="7" spans="1:23" ht="15.75" x14ac:dyDescent="0.25">
      <c r="C7" s="117"/>
      <c r="D7" s="37" t="s">
        <v>49</v>
      </c>
      <c r="E7" s="37"/>
      <c r="F7" s="37"/>
      <c r="G7" s="37"/>
      <c r="H7" s="112"/>
      <c r="I7" s="37"/>
      <c r="J7" s="111"/>
      <c r="K7" s="110" t="s">
        <v>48</v>
      </c>
      <c r="L7" s="37" t="s">
        <v>47</v>
      </c>
      <c r="M7" s="116" t="s">
        <v>46</v>
      </c>
      <c r="N7" s="115">
        <v>95688</v>
      </c>
      <c r="O7" s="114"/>
    </row>
    <row r="8" spans="1:23" ht="15.75" x14ac:dyDescent="0.25">
      <c r="C8" s="113" t="s">
        <v>45</v>
      </c>
      <c r="D8" s="37" t="s">
        <v>44</v>
      </c>
      <c r="E8" s="37"/>
      <c r="F8" s="37"/>
      <c r="G8" s="37"/>
      <c r="H8" s="112"/>
      <c r="I8" s="37"/>
      <c r="J8" s="111"/>
      <c r="K8" s="110" t="s">
        <v>43</v>
      </c>
      <c r="L8" s="109" t="s">
        <v>42</v>
      </c>
      <c r="M8" s="37"/>
      <c r="N8" s="108"/>
      <c r="O8" s="93"/>
    </row>
    <row r="9" spans="1:23" ht="15.75" x14ac:dyDescent="0.25">
      <c r="C9" s="107" t="s">
        <v>41</v>
      </c>
      <c r="D9" s="37"/>
      <c r="E9" s="16"/>
      <c r="F9" s="16"/>
      <c r="G9" s="16"/>
      <c r="H9" s="65"/>
      <c r="I9" s="37"/>
      <c r="J9" s="64"/>
      <c r="K9" s="106" t="s">
        <v>40</v>
      </c>
      <c r="L9" s="105" t="s">
        <v>39</v>
      </c>
      <c r="M9" s="64" t="s">
        <v>38</v>
      </c>
      <c r="N9" s="104"/>
    </row>
    <row r="10" spans="1:23" ht="16.5" customHeight="1" x14ac:dyDescent="0.25">
      <c r="A10" s="91"/>
      <c r="C10" s="103"/>
      <c r="D10" s="102" t="s">
        <v>37</v>
      </c>
      <c r="E10" s="100"/>
      <c r="F10" s="100"/>
      <c r="G10" s="100"/>
      <c r="H10" s="101"/>
      <c r="I10" s="100"/>
      <c r="J10" s="100"/>
      <c r="K10" s="100"/>
      <c r="L10" s="100"/>
      <c r="M10" s="100"/>
      <c r="N10" s="99"/>
    </row>
    <row r="11" spans="1:23" s="91" customFormat="1" ht="15.75" x14ac:dyDescent="0.25">
      <c r="A11"/>
      <c r="C11" s="98" t="s">
        <v>36</v>
      </c>
      <c r="D11" s="96"/>
      <c r="E11" s="96" t="s">
        <v>35</v>
      </c>
      <c r="F11" s="96"/>
      <c r="G11" s="96"/>
      <c r="H11" s="97"/>
      <c r="I11" s="95"/>
      <c r="J11" s="96"/>
      <c r="K11" s="96"/>
      <c r="L11" s="96" t="s">
        <v>34</v>
      </c>
      <c r="M11" s="95"/>
      <c r="N11" s="94" t="s">
        <v>33</v>
      </c>
      <c r="O11" s="93"/>
      <c r="P11" s="92"/>
      <c r="Q11" s="92"/>
      <c r="R11" s="92"/>
      <c r="S11" s="92"/>
      <c r="T11" s="92"/>
      <c r="U11" s="92"/>
      <c r="V11" s="92"/>
      <c r="W11" s="92"/>
    </row>
    <row r="12" spans="1:23" ht="20.25" customHeight="1" x14ac:dyDescent="0.25">
      <c r="B12" s="27"/>
      <c r="C12" s="90">
        <f ca="1">TODAY()</f>
        <v>45735</v>
      </c>
      <c r="D12" s="89"/>
      <c r="E12" s="86">
        <f ca="1">+C12+21</f>
        <v>45756</v>
      </c>
      <c r="F12" s="86"/>
      <c r="G12" s="86"/>
      <c r="H12" s="88"/>
      <c r="I12" s="87"/>
      <c r="J12" s="86"/>
      <c r="K12" s="85"/>
      <c r="L12" s="17" t="s">
        <v>32</v>
      </c>
      <c r="M12" s="84"/>
      <c r="N12" s="83">
        <f ca="1">+E12</f>
        <v>45756</v>
      </c>
    </row>
    <row r="13" spans="1:23" ht="44.25" customHeight="1" x14ac:dyDescent="0.3">
      <c r="B13" s="27"/>
      <c r="C13" s="141" t="s">
        <v>31</v>
      </c>
      <c r="D13" s="142"/>
      <c r="E13" s="142"/>
      <c r="F13" s="142"/>
      <c r="G13" s="142"/>
      <c r="H13" s="142"/>
      <c r="I13" s="142"/>
      <c r="J13" s="142"/>
      <c r="K13" s="142"/>
      <c r="L13" s="142"/>
      <c r="M13" s="142"/>
      <c r="N13" s="143"/>
    </row>
    <row r="14" spans="1:23" ht="18.75" thickBot="1" x14ac:dyDescent="0.3">
      <c r="B14" s="27"/>
      <c r="C14" s="82"/>
      <c r="D14" s="81"/>
      <c r="E14" s="81"/>
      <c r="F14" s="81"/>
      <c r="G14" s="81"/>
      <c r="H14" s="80"/>
      <c r="I14" s="79"/>
      <c r="J14" s="79"/>
      <c r="K14" s="79"/>
      <c r="L14" s="80"/>
      <c r="M14" s="79"/>
      <c r="N14" s="78"/>
    </row>
    <row r="15" spans="1:23" ht="15.75" x14ac:dyDescent="0.25">
      <c r="B15" s="77"/>
      <c r="C15" s="76" t="s">
        <v>30</v>
      </c>
      <c r="D15" s="75" t="s">
        <v>98</v>
      </c>
      <c r="E15" s="74"/>
      <c r="F15" s="74"/>
      <c r="G15" s="74"/>
      <c r="H15" s="73"/>
      <c r="I15" s="72"/>
      <c r="J15" s="71" t="s">
        <v>28</v>
      </c>
      <c r="K15" s="140">
        <v>552917</v>
      </c>
      <c r="L15" s="70"/>
      <c r="M15" s="70"/>
      <c r="N15" s="69" t="s">
        <v>9</v>
      </c>
    </row>
    <row r="16" spans="1:23" ht="15.75" x14ac:dyDescent="0.25">
      <c r="B16" s="68"/>
      <c r="C16" s="67" t="s">
        <v>27</v>
      </c>
      <c r="D16" s="16" t="s">
        <v>97</v>
      </c>
      <c r="E16" s="16"/>
      <c r="F16" s="137"/>
      <c r="G16" s="137"/>
      <c r="H16" s="137"/>
      <c r="I16" s="137"/>
      <c r="J16" s="137"/>
      <c r="K16" s="137"/>
      <c r="L16" s="64"/>
      <c r="M16" s="63"/>
      <c r="N16" s="62">
        <f>SUM(N19:N26)</f>
        <v>1239</v>
      </c>
    </row>
    <row r="17" spans="1:21" s="1" customFormat="1" ht="15.75" x14ac:dyDescent="0.25">
      <c r="A17"/>
      <c r="B17" s="68"/>
      <c r="C17" s="67"/>
      <c r="D17" s="16"/>
      <c r="E17" s="66"/>
      <c r="F17" s="59"/>
      <c r="G17" s="59"/>
      <c r="H17" s="59"/>
      <c r="I17" s="59"/>
      <c r="J17" s="60"/>
      <c r="K17" s="65"/>
      <c r="L17" s="64"/>
      <c r="M17" s="63"/>
      <c r="N17" s="62"/>
      <c r="O17"/>
    </row>
    <row r="18" spans="1:21" s="1" customFormat="1" ht="15.75" x14ac:dyDescent="0.25">
      <c r="A18"/>
      <c r="B18" s="37"/>
      <c r="C18" s="61" t="s">
        <v>25</v>
      </c>
      <c r="D18" s="60" t="s">
        <v>24</v>
      </c>
      <c r="E18" s="60" t="s">
        <v>23</v>
      </c>
      <c r="F18" s="139" t="s">
        <v>99</v>
      </c>
      <c r="G18" s="139" t="s">
        <v>100</v>
      </c>
      <c r="H18" s="139" t="s">
        <v>101</v>
      </c>
      <c r="I18" s="139" t="s">
        <v>102</v>
      </c>
      <c r="J18" s="139" t="s">
        <v>103</v>
      </c>
      <c r="K18" s="60"/>
      <c r="L18" s="59" t="s">
        <v>22</v>
      </c>
      <c r="M18" s="59" t="s">
        <v>21</v>
      </c>
      <c r="N18" s="58"/>
      <c r="O18" s="57"/>
    </row>
    <row r="19" spans="1:21" s="1" customFormat="1" x14ac:dyDescent="0.2">
      <c r="A19"/>
      <c r="B19" s="37"/>
      <c r="C19" s="54" t="s">
        <v>96</v>
      </c>
      <c r="D19" s="118" t="s">
        <v>95</v>
      </c>
      <c r="E19" s="138" t="s">
        <v>95</v>
      </c>
      <c r="F19" s="45">
        <v>15</v>
      </c>
      <c r="G19" s="45">
        <v>12</v>
      </c>
      <c r="H19" s="45">
        <v>5</v>
      </c>
      <c r="I19" s="45"/>
      <c r="J19" s="45"/>
      <c r="K19" s="45"/>
      <c r="L19" s="45">
        <f t="shared" ref="L19:L26" si="0">SUM(F19:K19)</f>
        <v>32</v>
      </c>
      <c r="M19" s="44">
        <v>21</v>
      </c>
      <c r="N19" s="43">
        <f t="shared" ref="N19:N26" si="1">+M19*L19</f>
        <v>672</v>
      </c>
      <c r="O19" s="56"/>
      <c r="P19" s="55"/>
      <c r="Q19" s="55"/>
      <c r="S19" s="55"/>
      <c r="T19" s="55"/>
      <c r="U19" s="55"/>
    </row>
    <row r="20" spans="1:21" s="1" customFormat="1" x14ac:dyDescent="0.2">
      <c r="A20"/>
      <c r="B20" s="37"/>
      <c r="C20" s="54" t="s">
        <v>94</v>
      </c>
      <c r="D20" s="118" t="s">
        <v>93</v>
      </c>
      <c r="E20" s="138" t="s">
        <v>93</v>
      </c>
      <c r="F20" s="45"/>
      <c r="G20" s="45">
        <v>2</v>
      </c>
      <c r="H20" s="45">
        <v>16</v>
      </c>
      <c r="I20" s="45">
        <v>9</v>
      </c>
      <c r="J20" s="45"/>
      <c r="K20" s="45"/>
      <c r="L20" s="45">
        <f t="shared" si="0"/>
        <v>27</v>
      </c>
      <c r="M20" s="44">
        <v>21</v>
      </c>
      <c r="N20" s="43">
        <f t="shared" si="1"/>
        <v>567</v>
      </c>
      <c r="O20" s="56"/>
      <c r="S20" s="55"/>
    </row>
    <row r="21" spans="1:21" s="1" customFormat="1" x14ac:dyDescent="0.2">
      <c r="A21"/>
      <c r="B21" s="37"/>
      <c r="C21" s="54"/>
      <c r="D21"/>
      <c r="E21" s="3"/>
      <c r="F21" s="45"/>
      <c r="G21" s="45"/>
      <c r="H21" s="45"/>
      <c r="I21" s="45"/>
      <c r="J21" s="45"/>
      <c r="K21" s="45"/>
      <c r="L21" s="45">
        <f t="shared" si="0"/>
        <v>0</v>
      </c>
      <c r="M21" s="44"/>
      <c r="N21" s="43">
        <f t="shared" si="1"/>
        <v>0</v>
      </c>
      <c r="O21" s="42"/>
    </row>
    <row r="22" spans="1:21" s="1" customFormat="1" ht="15.75" x14ac:dyDescent="0.25">
      <c r="A22"/>
      <c r="B22" s="37"/>
      <c r="C22" s="50" t="s">
        <v>14</v>
      </c>
      <c r="D22" s="53"/>
      <c r="E22" s="52"/>
      <c r="F22" s="51"/>
      <c r="G22" s="51"/>
      <c r="H22" s="51"/>
      <c r="I22" s="51"/>
      <c r="J22" s="47"/>
      <c r="K22" s="45"/>
      <c r="L22" s="45">
        <f t="shared" si="0"/>
        <v>0</v>
      </c>
      <c r="M22" s="44"/>
      <c r="N22" s="43">
        <f t="shared" si="1"/>
        <v>0</v>
      </c>
      <c r="O22" s="42"/>
    </row>
    <row r="23" spans="1:21" s="1" customFormat="1" x14ac:dyDescent="0.2">
      <c r="A23"/>
      <c r="B23" s="37"/>
      <c r="C23" s="50" t="s">
        <v>13</v>
      </c>
      <c r="D23" s="49"/>
      <c r="E23" s="48"/>
      <c r="F23" s="47"/>
      <c r="G23" s="47"/>
      <c r="H23" s="47"/>
      <c r="I23" s="47"/>
      <c r="J23" s="47"/>
      <c r="K23" s="45"/>
      <c r="L23" s="45">
        <f t="shared" si="0"/>
        <v>0</v>
      </c>
      <c r="M23" s="44"/>
      <c r="N23" s="43">
        <f t="shared" si="1"/>
        <v>0</v>
      </c>
      <c r="O23" s="42"/>
    </row>
    <row r="24" spans="1:21" s="1" customFormat="1" x14ac:dyDescent="0.2">
      <c r="A24"/>
      <c r="B24" s="37"/>
      <c r="C24" s="54"/>
      <c r="D24"/>
      <c r="E24" s="3"/>
      <c r="F24" s="45"/>
      <c r="G24" s="45"/>
      <c r="H24" s="45"/>
      <c r="I24" s="45"/>
      <c r="J24" s="45"/>
      <c r="K24" s="45"/>
      <c r="L24" s="45">
        <f t="shared" si="0"/>
        <v>0</v>
      </c>
      <c r="M24" s="44"/>
      <c r="N24" s="43">
        <f t="shared" si="1"/>
        <v>0</v>
      </c>
      <c r="O24" s="42"/>
    </row>
    <row r="25" spans="1:21" s="1" customFormat="1" x14ac:dyDescent="0.2">
      <c r="A25"/>
      <c r="B25" s="37"/>
      <c r="C25" s="54"/>
      <c r="D25"/>
      <c r="E25" s="3"/>
      <c r="F25" s="45"/>
      <c r="G25" s="45"/>
      <c r="H25" s="45"/>
      <c r="I25" s="45"/>
      <c r="J25" s="45"/>
      <c r="K25" s="45"/>
      <c r="L25" s="45">
        <f t="shared" si="0"/>
        <v>0</v>
      </c>
      <c r="M25" s="44"/>
      <c r="N25" s="43">
        <f t="shared" si="1"/>
        <v>0</v>
      </c>
      <c r="O25" s="42"/>
    </row>
    <row r="26" spans="1:21" s="1" customFormat="1" x14ac:dyDescent="0.2">
      <c r="A26"/>
      <c r="B26" s="37"/>
      <c r="C26" s="46"/>
      <c r="D26" s="45"/>
      <c r="E26" s="45"/>
      <c r="F26" s="45"/>
      <c r="G26" s="45"/>
      <c r="H26" s="45"/>
      <c r="I26" s="45"/>
      <c r="J26" s="45"/>
      <c r="K26" s="45"/>
      <c r="L26" s="45">
        <f t="shared" si="0"/>
        <v>0</v>
      </c>
      <c r="M26" s="44"/>
      <c r="N26" s="43">
        <f t="shared" si="1"/>
        <v>0</v>
      </c>
      <c r="O26" s="42"/>
    </row>
    <row r="27" spans="1:21" s="1" customFormat="1" ht="18.75" thickBot="1" x14ac:dyDescent="0.3">
      <c r="A27"/>
      <c r="B27" s="37"/>
      <c r="C27" s="41" t="s">
        <v>12</v>
      </c>
      <c r="D27" s="40"/>
      <c r="E27" s="40"/>
      <c r="F27" s="40"/>
      <c r="G27" s="40"/>
      <c r="H27" s="40"/>
      <c r="I27" s="40"/>
      <c r="J27" s="40"/>
      <c r="K27" s="40"/>
      <c r="L27" s="40" t="s">
        <v>11</v>
      </c>
      <c r="M27" s="40"/>
      <c r="N27" s="39"/>
      <c r="O27" s="38"/>
    </row>
    <row r="28" spans="1:21" s="1" customFormat="1" ht="16.5" thickBot="1" x14ac:dyDescent="0.3">
      <c r="A28"/>
      <c r="B28" s="37"/>
      <c r="C28" s="36" t="s">
        <v>10</v>
      </c>
      <c r="D28" s="35"/>
      <c r="E28" s="35"/>
      <c r="F28" s="35">
        <f t="shared" ref="F28:L28" si="2">SUM(F19:F26)</f>
        <v>15</v>
      </c>
      <c r="G28" s="35">
        <f t="shared" si="2"/>
        <v>14</v>
      </c>
      <c r="H28" s="35">
        <f t="shared" si="2"/>
        <v>21</v>
      </c>
      <c r="I28" s="35">
        <f t="shared" si="2"/>
        <v>9</v>
      </c>
      <c r="J28" s="35">
        <f t="shared" si="2"/>
        <v>0</v>
      </c>
      <c r="K28" s="35">
        <f t="shared" si="2"/>
        <v>0</v>
      </c>
      <c r="L28" s="35">
        <f t="shared" si="2"/>
        <v>59</v>
      </c>
      <c r="M28" s="34" t="s">
        <v>9</v>
      </c>
      <c r="N28" s="33">
        <f>+N16</f>
        <v>1239</v>
      </c>
      <c r="O28" s="32"/>
    </row>
    <row r="29" spans="1:21" s="1" customFormat="1" x14ac:dyDescent="0.2">
      <c r="A29"/>
      <c r="B29"/>
      <c r="C29" s="31"/>
      <c r="D29" s="30"/>
      <c r="E29" s="29"/>
      <c r="F29" s="29"/>
      <c r="G29" s="29"/>
      <c r="H29" s="30"/>
      <c r="I29" s="30"/>
      <c r="J29" s="30"/>
      <c r="K29" s="30"/>
      <c r="L29" s="29"/>
      <c r="M29" s="29"/>
      <c r="N29" s="28"/>
      <c r="O29"/>
    </row>
    <row r="30" spans="1:21" s="1" customFormat="1" ht="15.75" x14ac:dyDescent="0.25">
      <c r="A30"/>
      <c r="B30" s="27"/>
      <c r="C30" s="144" t="s">
        <v>8</v>
      </c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6"/>
      <c r="O30"/>
    </row>
    <row r="31" spans="1:21" s="1" customFormat="1" ht="15.6" customHeight="1" x14ac:dyDescent="0.25">
      <c r="A31"/>
      <c r="B31"/>
      <c r="C31" s="23" t="s">
        <v>7</v>
      </c>
      <c r="D31" s="22"/>
      <c r="E31" s="26"/>
      <c r="F31" s="26"/>
      <c r="G31" s="24" t="s">
        <v>6</v>
      </c>
      <c r="H31" s="25"/>
      <c r="I31" s="22"/>
      <c r="J31" s="22"/>
      <c r="K31" s="20"/>
      <c r="L31" s="22"/>
      <c r="M31" s="22"/>
      <c r="N31" s="19"/>
      <c r="O31"/>
    </row>
    <row r="32" spans="1:21" s="1" customFormat="1" ht="15.75" x14ac:dyDescent="0.25">
      <c r="A32"/>
      <c r="B32"/>
      <c r="C32" s="23" t="s">
        <v>5</v>
      </c>
      <c r="D32" s="22"/>
      <c r="E32" s="21"/>
      <c r="F32" s="22"/>
      <c r="G32" s="24" t="s">
        <v>4</v>
      </c>
      <c r="H32" s="22"/>
      <c r="I32" s="22"/>
      <c r="J32" s="22"/>
      <c r="K32" s="20"/>
      <c r="L32" s="22"/>
      <c r="M32" s="20"/>
      <c r="N32" s="19"/>
      <c r="O32"/>
    </row>
    <row r="33" spans="1:15" s="1" customFormat="1" ht="15.75" x14ac:dyDescent="0.25">
      <c r="A33"/>
      <c r="B33"/>
      <c r="C33" s="23" t="s">
        <v>3</v>
      </c>
      <c r="D33" s="22"/>
      <c r="E33" s="21"/>
      <c r="F33" s="21"/>
      <c r="G33" s="24" t="s">
        <v>2</v>
      </c>
      <c r="H33" s="22"/>
      <c r="I33" s="22"/>
      <c r="J33" s="22"/>
      <c r="K33" s="20"/>
      <c r="L33" s="20"/>
      <c r="M33" s="20"/>
      <c r="N33" s="19"/>
      <c r="O33"/>
    </row>
    <row r="34" spans="1:15" s="1" customFormat="1" ht="15.75" x14ac:dyDescent="0.25">
      <c r="A34"/>
      <c r="B34"/>
      <c r="C34" s="23" t="s">
        <v>1</v>
      </c>
      <c r="D34" s="22"/>
      <c r="E34" s="21"/>
      <c r="F34" s="21"/>
      <c r="G34" s="21"/>
      <c r="H34" s="20"/>
      <c r="I34" s="20"/>
      <c r="J34" s="20"/>
      <c r="K34" s="20"/>
      <c r="L34" s="20"/>
      <c r="M34" s="20"/>
      <c r="N34" s="19"/>
      <c r="O34"/>
    </row>
    <row r="35" spans="1:15" s="1" customFormat="1" ht="18" x14ac:dyDescent="0.25">
      <c r="A35"/>
      <c r="B35"/>
      <c r="C35" s="18"/>
      <c r="D35" s="17"/>
      <c r="E35" s="16"/>
      <c r="F35" s="16"/>
      <c r="G35" s="16"/>
      <c r="H35" s="15"/>
      <c r="I35" s="15"/>
      <c r="J35" s="15"/>
      <c r="K35" s="15"/>
      <c r="L35" s="15"/>
      <c r="M35" s="15"/>
      <c r="N35" s="14"/>
      <c r="O35"/>
    </row>
    <row r="36" spans="1:15" s="1" customFormat="1" x14ac:dyDescent="0.2">
      <c r="A36"/>
      <c r="B36"/>
      <c r="C36" s="13"/>
      <c r="D36" s="12"/>
      <c r="E36" s="12"/>
      <c r="F36" s="12"/>
      <c r="G36" s="12"/>
      <c r="H36" s="11"/>
      <c r="I36" s="10"/>
      <c r="J36" s="10"/>
      <c r="K36" s="10"/>
      <c r="L36" s="10"/>
      <c r="M36" s="10"/>
      <c r="N36" s="9"/>
      <c r="O36"/>
    </row>
    <row r="37" spans="1:15" s="1" customFormat="1" ht="18.75" thickBot="1" x14ac:dyDescent="0.3">
      <c r="A37"/>
      <c r="B37"/>
      <c r="C37" s="8" t="s">
        <v>0</v>
      </c>
      <c r="D37" s="7"/>
      <c r="E37" s="6"/>
      <c r="F37" s="6"/>
      <c r="G37" s="6"/>
      <c r="H37" s="7"/>
      <c r="I37" s="7"/>
      <c r="J37" s="7"/>
      <c r="K37" s="7"/>
      <c r="L37" s="6"/>
      <c r="M37" s="5"/>
      <c r="N37" s="4"/>
      <c r="O37"/>
    </row>
    <row r="38" spans="1:15" s="1" customFormat="1" x14ac:dyDescent="0.2">
      <c r="A38"/>
      <c r="B38"/>
      <c r="C38"/>
      <c r="D38" s="3"/>
      <c r="E38"/>
      <c r="F38"/>
      <c r="G38"/>
      <c r="H38" s="3"/>
      <c r="I38" s="3"/>
      <c r="J38" s="3"/>
      <c r="K38" s="3"/>
      <c r="L38"/>
      <c r="M38"/>
      <c r="N38" s="2"/>
      <c r="O38"/>
    </row>
    <row r="39" spans="1:15" s="1" customFormat="1" x14ac:dyDescent="0.2">
      <c r="A39"/>
      <c r="B39"/>
      <c r="C39"/>
      <c r="D39" s="3"/>
      <c r="E39"/>
      <c r="F39"/>
      <c r="G39"/>
      <c r="H39" s="3"/>
      <c r="I39" s="3"/>
      <c r="J39" s="3"/>
      <c r="K39" s="3"/>
      <c r="L39"/>
      <c r="M39"/>
      <c r="N39" s="2"/>
      <c r="O39"/>
    </row>
    <row r="40" spans="1:15" s="1" customFormat="1" x14ac:dyDescent="0.2">
      <c r="A40"/>
      <c r="B40"/>
      <c r="C40"/>
      <c r="D40" s="3"/>
      <c r="E40"/>
      <c r="F40"/>
      <c r="G40"/>
      <c r="H40" s="3"/>
      <c r="I40" s="3"/>
      <c r="J40" s="3"/>
      <c r="K40" s="3"/>
      <c r="L40"/>
      <c r="M40"/>
      <c r="N40" s="2"/>
      <c r="O40"/>
    </row>
    <row r="41" spans="1:15" s="1" customFormat="1" x14ac:dyDescent="0.2">
      <c r="A41"/>
      <c r="B41"/>
      <c r="C41"/>
      <c r="D41" s="3"/>
      <c r="E41"/>
      <c r="F41"/>
      <c r="G41"/>
      <c r="H41" s="3"/>
      <c r="I41" s="3"/>
      <c r="J41" s="3"/>
      <c r="K41" s="3"/>
      <c r="L41"/>
      <c r="M41"/>
      <c r="N41" s="2"/>
      <c r="O41"/>
    </row>
    <row r="42" spans="1:15" s="1" customFormat="1" x14ac:dyDescent="0.2">
      <c r="A42"/>
      <c r="B42"/>
      <c r="C42"/>
      <c r="D42" s="3"/>
      <c r="E42"/>
      <c r="F42"/>
      <c r="G42"/>
      <c r="H42" s="3"/>
      <c r="I42" s="3"/>
      <c r="J42" s="3"/>
      <c r="K42" s="3"/>
      <c r="L42"/>
      <c r="M42"/>
      <c r="N42" s="2"/>
      <c r="O42"/>
    </row>
    <row r="43" spans="1:15" s="1" customFormat="1" x14ac:dyDescent="0.2">
      <c r="A43"/>
      <c r="B43"/>
      <c r="C43"/>
      <c r="D43" s="3"/>
      <c r="E43"/>
      <c r="F43"/>
      <c r="G43"/>
      <c r="H43" s="3"/>
      <c r="I43" s="3"/>
      <c r="J43" s="3"/>
      <c r="K43" s="3"/>
      <c r="L43"/>
      <c r="M43"/>
      <c r="N43" s="2"/>
      <c r="O43"/>
    </row>
    <row r="44" spans="1:15" s="1" customFormat="1" x14ac:dyDescent="0.2">
      <c r="A44"/>
      <c r="B44"/>
      <c r="C44"/>
      <c r="D44" s="3"/>
      <c r="E44"/>
      <c r="F44"/>
      <c r="G44"/>
      <c r="H44" s="3"/>
      <c r="I44" s="3"/>
      <c r="J44" s="3"/>
      <c r="K44" s="3"/>
      <c r="L44"/>
      <c r="M44"/>
      <c r="N44" s="2"/>
      <c r="O44"/>
    </row>
    <row r="45" spans="1:15" s="1" customFormat="1" x14ac:dyDescent="0.2">
      <c r="A45"/>
      <c r="B45"/>
      <c r="C45"/>
      <c r="D45" s="3"/>
      <c r="E45"/>
      <c r="F45"/>
      <c r="G45"/>
      <c r="H45" s="3"/>
      <c r="I45" s="3"/>
      <c r="J45" s="3"/>
      <c r="K45" s="3"/>
      <c r="L45"/>
      <c r="M45"/>
      <c r="N45" s="2"/>
      <c r="O45"/>
    </row>
    <row r="46" spans="1:15" s="1" customFormat="1" x14ac:dyDescent="0.2">
      <c r="A46"/>
      <c r="B46"/>
      <c r="C46"/>
      <c r="D46" s="3"/>
      <c r="E46"/>
      <c r="F46"/>
      <c r="G46"/>
      <c r="H46" s="3"/>
      <c r="I46" s="3"/>
      <c r="J46" s="3"/>
      <c r="K46" s="3"/>
      <c r="L46"/>
      <c r="M46"/>
      <c r="N46" s="2"/>
      <c r="O46"/>
    </row>
    <row r="47" spans="1:15" s="1" customFormat="1" x14ac:dyDescent="0.2">
      <c r="A47"/>
      <c r="B47"/>
      <c r="C47"/>
      <c r="D47" s="3"/>
      <c r="E47"/>
      <c r="F47"/>
      <c r="G47"/>
      <c r="H47" s="3"/>
      <c r="I47" s="3"/>
      <c r="J47" s="3"/>
      <c r="K47" s="3"/>
      <c r="L47"/>
      <c r="M47"/>
      <c r="N47" s="2"/>
      <c r="O47"/>
    </row>
    <row r="48" spans="1:15" s="1" customFormat="1" x14ac:dyDescent="0.2">
      <c r="A48"/>
      <c r="B48"/>
      <c r="C48"/>
      <c r="D48" s="3"/>
      <c r="E48"/>
      <c r="F48"/>
      <c r="G48"/>
      <c r="H48" s="3"/>
      <c r="I48" s="3"/>
      <c r="J48" s="3"/>
      <c r="K48" s="3"/>
      <c r="L48"/>
      <c r="M48"/>
      <c r="N48" s="2"/>
      <c r="O48"/>
    </row>
    <row r="49" spans="3:11" x14ac:dyDescent="0.2">
      <c r="C49"/>
      <c r="D49" s="3"/>
      <c r="E49"/>
      <c r="F49"/>
      <c r="G49"/>
      <c r="I49" s="3"/>
      <c r="J49" s="3"/>
      <c r="K49" s="3"/>
    </row>
    <row r="50" spans="3:11" x14ac:dyDescent="0.2">
      <c r="C50"/>
      <c r="D50" s="3"/>
      <c r="E50"/>
      <c r="F50"/>
      <c r="G50"/>
      <c r="I50" s="3"/>
      <c r="J50" s="3"/>
      <c r="K50" s="3"/>
    </row>
    <row r="51" spans="3:11" x14ac:dyDescent="0.2">
      <c r="C51"/>
      <c r="D51" s="3"/>
      <c r="E51"/>
      <c r="F51"/>
      <c r="G51"/>
      <c r="I51" s="3"/>
      <c r="J51" s="3"/>
      <c r="K51" s="3"/>
    </row>
    <row r="52" spans="3:11" x14ac:dyDescent="0.2">
      <c r="C52"/>
      <c r="D52" s="3"/>
      <c r="E52"/>
      <c r="F52"/>
      <c r="G52"/>
      <c r="I52" s="3"/>
      <c r="J52" s="3"/>
      <c r="K52" s="3"/>
    </row>
    <row r="53" spans="3:11" x14ac:dyDescent="0.2">
      <c r="C53"/>
      <c r="D53" s="3"/>
      <c r="E53"/>
      <c r="F53"/>
      <c r="G53"/>
      <c r="I53" s="3"/>
      <c r="J53" s="3"/>
      <c r="K53" s="3"/>
    </row>
    <row r="54" spans="3:11" x14ac:dyDescent="0.2">
      <c r="C54"/>
      <c r="D54" s="3"/>
      <c r="E54"/>
      <c r="F54"/>
      <c r="G54"/>
      <c r="I54" s="3"/>
      <c r="J54" s="3"/>
      <c r="K54" s="3"/>
    </row>
    <row r="55" spans="3:11" x14ac:dyDescent="0.2">
      <c r="C55"/>
      <c r="D55" s="3"/>
      <c r="E55"/>
      <c r="F55"/>
      <c r="G55"/>
      <c r="I55" s="3"/>
      <c r="J55" s="3"/>
      <c r="K55" s="3"/>
    </row>
    <row r="56" spans="3:11" x14ac:dyDescent="0.2">
      <c r="C56"/>
      <c r="D56" s="3"/>
      <c r="E56"/>
      <c r="F56"/>
      <c r="G56"/>
      <c r="I56" s="3"/>
      <c r="J56" s="3"/>
      <c r="K56" s="3"/>
    </row>
    <row r="57" spans="3:11" x14ac:dyDescent="0.2">
      <c r="C57"/>
      <c r="D57" s="3"/>
      <c r="E57"/>
      <c r="F57"/>
      <c r="G57"/>
      <c r="I57" s="3"/>
      <c r="J57" s="3"/>
      <c r="K57" s="3"/>
    </row>
    <row r="58" spans="3:11" x14ac:dyDescent="0.2">
      <c r="C58"/>
      <c r="D58" s="3"/>
      <c r="E58"/>
      <c r="F58"/>
      <c r="G58"/>
      <c r="I58" s="3"/>
      <c r="J58" s="3"/>
      <c r="K58" s="3"/>
    </row>
  </sheetData>
  <mergeCells count="2">
    <mergeCell ref="C13:N13"/>
    <mergeCell ref="C30:N30"/>
  </mergeCells>
  <hyperlinks>
    <hyperlink ref="L8" r:id="rId1" xr:uid="{12245EEE-E656-4050-B0F7-D4DF1279FB3F}"/>
  </hyperlinks>
  <pageMargins left="0.25" right="0.25" top="0.79" bottom="0.33" header="0.17" footer="0.2"/>
  <pageSetup scale="67" fitToHeight="0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112904</vt:lpstr>
      <vt:lpstr>112989</vt:lpstr>
      <vt:lpstr>122936</vt:lpstr>
      <vt:lpstr>122958</vt:lpstr>
      <vt:lpstr>552917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Carson Amiral</dc:creator>
  <cp:lastModifiedBy>Alex Amiral</cp:lastModifiedBy>
  <dcterms:created xsi:type="dcterms:W3CDTF">2025-03-19T23:16:27Z</dcterms:created>
  <dcterms:modified xsi:type="dcterms:W3CDTF">2025-03-20T01:19:57Z</dcterms:modified>
</cp:coreProperties>
</file>